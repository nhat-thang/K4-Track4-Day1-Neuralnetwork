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885" tabRatio="500" firstSheet="0" activeTab="0" autoFilterDateGrouping="1"/>
  </bookViews>
  <sheets>
    <sheet name="Legend" sheetId="1" state="visible" r:id="rId1"/>
    <sheet name="Experiments" sheetId="2" state="visible" r:id="rId2"/>
    <sheet name="Seeds" sheetId="3" state="visible" r:id="rId3"/>
    <sheet name="Summary" sheetId="4" state="visible" r:id="rId4"/>
  </sheets>
  <definedNames>
    <definedName name="_xlnm._FilterDatabase" localSheetId="1" hidden="1">'Experiments'!$A$1:$AG$61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27">
    <font>
      <name val="Calibri"/>
      <charset val="1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0000FF"/>
      <sz val="10"/>
    </font>
    <font>
      <name val="Arial"/>
      <charset val="1"/>
      <b val="1"/>
      <sz val="14"/>
    </font>
    <font>
      <name val="Arial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7E6E6"/>
        <bgColor rgb="FFFFF2CC"/>
      </patternFill>
    </fill>
    <fill>
      <patternFill patternType="solid">
        <fgColor rgb="FFFFF2CC"/>
        <bgColor rgb="FFE7E6E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/>
    <xf numFmtId="44" fontId="6" fillId="0" borderId="0"/>
    <xf numFmtId="9" fontId="6" fillId="0" borderId="0"/>
    <xf numFmtId="41" fontId="6" fillId="0" borderId="0"/>
    <xf numFmtId="42" fontId="6" fillId="0" borderId="0"/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5" borderId="2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3" applyAlignment="1">
      <alignment vertical="center"/>
    </xf>
    <xf numFmtId="0" fontId="14" fillId="0" borderId="3" applyAlignment="1">
      <alignment vertical="center"/>
    </xf>
    <xf numFmtId="0" fontId="15" fillId="0" borderId="4" applyAlignment="1">
      <alignment vertical="center"/>
    </xf>
    <xf numFmtId="0" fontId="15" fillId="0" borderId="0" applyAlignment="1">
      <alignment vertical="center"/>
    </xf>
    <xf numFmtId="0" fontId="16" fillId="6" borderId="5" applyAlignment="1">
      <alignment vertical="center"/>
    </xf>
    <xf numFmtId="0" fontId="17" fillId="7" borderId="6" applyAlignment="1">
      <alignment vertical="center"/>
    </xf>
    <xf numFmtId="0" fontId="18" fillId="7" borderId="5" applyAlignment="1">
      <alignment vertical="center"/>
    </xf>
    <xf numFmtId="0" fontId="19" fillId="8" borderId="7" applyAlignment="1">
      <alignment vertical="center"/>
    </xf>
    <xf numFmtId="0" fontId="20" fillId="0" borderId="8" applyAlignment="1">
      <alignment vertical="center"/>
    </xf>
    <xf numFmtId="0" fontId="21" fillId="0" borderId="9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6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6" fillId="17" borderId="0" applyAlignment="1">
      <alignment vertical="center"/>
    </xf>
    <xf numFmtId="0" fontId="26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6" fillId="21" borderId="0" applyAlignment="1">
      <alignment vertical="center"/>
    </xf>
    <xf numFmtId="0" fontId="26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6" fillId="25" borderId="0" applyAlignment="1">
      <alignment vertical="center"/>
    </xf>
    <xf numFmtId="0" fontId="26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6" fillId="29" borderId="0" applyAlignment="1">
      <alignment vertical="center"/>
    </xf>
    <xf numFmtId="0" fontId="26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6" fillId="33" borderId="0" applyAlignment="1">
      <alignment vertical="center"/>
    </xf>
    <xf numFmtId="0" fontId="26" fillId="34" borderId="0" applyAlignment="1">
      <alignment vertical="center"/>
    </xf>
    <xf numFmtId="0" fontId="25" fillId="35" borderId="0" applyAlignment="1">
      <alignment vertical="center"/>
    </xf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4" fontId="2" fillId="3" borderId="1" pivotButton="0" quotePrefix="0" xfId="0"/>
    <xf numFmtId="0" fontId="2" fillId="4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4" fillId="4" borderId="1" pivotButton="0" quotePrefix="0" xfId="0"/>
    <xf numFmtId="0" fontId="2" fillId="4" borderId="1" pivotButton="0" quotePrefix="0" xfId="0"/>
    <xf numFmtId="0" fontId="3" fillId="0" borderId="1" pivotButton="0" quotePrefix="0" xfId="0"/>
    <xf numFmtId="164" fontId="2" fillId="4" borderId="1" pivotButton="0" quotePrefix="0" xfId="0"/>
    <xf numFmtId="0" fontId="5" fillId="0" borderId="0" pivotButton="0" quotePrefix="0" xfId="0"/>
    <xf numFmtId="0" fontId="0" fillId="4" borderId="1" pivotButton="0" quotePrefix="0" xfId="0"/>
    <xf numFmtId="0" fontId="4" fillId="0" borderId="1" pivotButton="0" quotePrefix="0" xfId="0"/>
    <xf numFmtId="0" fontId="0" fillId="3" borderId="1" pivotButton="0" quotePrefix="0" xfId="0"/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3" borderId="1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F2CC"/>
      <rgbColor rgb="00E7E6E6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1F3864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tabSelected="1" topLeftCell="A4" workbookViewId="0">
      <selection activeCell="A1" sqref="A1"/>
    </sheetView>
  </sheetViews>
  <sheetFormatPr baseColWidth="8" defaultColWidth="8.676190476190479" defaultRowHeight="15"/>
  <cols>
    <col width="24" customWidth="1" min="1" max="1"/>
    <col width="60" customWidth="1" min="2" max="2"/>
    <col width="52" customWidth="1" min="3" max="3"/>
    <col width="14" customWidth="1" min="4" max="12"/>
  </cols>
  <sheetData>
    <row r="1" ht="17.35" customHeight="1">
      <c r="A1" s="12" t="inlineStr">
        <is>
          <t>Bảng so sánh thí nghiệm — Lab Day 1</t>
        </is>
      </c>
    </row>
    <row r="2">
      <c r="A2" s="7" t="inlineStr">
        <is>
          <t>Lưu file này thành experiments.xlsx. Mỗi lần chạy là một dòng ở sheet Experiments (số dòng tuỳ bạn, có sẵn 60 dòng). Sheet Seeds và Summary tự tổng hợp.</t>
        </is>
      </c>
    </row>
    <row r="4">
      <c r="A4" s="6" t="inlineStr">
        <is>
          <t>Quy ước màu</t>
        </is>
      </c>
    </row>
    <row r="5">
      <c r="A5" s="13" t="inlineStr">
        <is>
          <t>   </t>
        </is>
      </c>
      <c r="B5" s="7" t="inlineStr">
        <is>
          <t>Ô vàng: bạn điền (cấu hình và kết quả đo).</t>
        </is>
      </c>
    </row>
    <row r="6">
      <c r="A6" s="14" t="inlineStr">
        <is>
          <t>abc</t>
        </is>
      </c>
      <c r="B6" s="7" t="inlineStr">
        <is>
          <t>Chữ xanh dương: giá trị đã điền sẵn cho dòng baseline; bạn có thể sửa.</t>
        </is>
      </c>
    </row>
    <row r="7">
      <c r="A7" s="15" t="inlineStr">
        <is>
          <t>   </t>
        </is>
      </c>
      <c r="B7" s="7" t="inlineStr">
        <is>
          <t>Ô xám: công thức tự tính. Không sửa.</t>
        </is>
      </c>
    </row>
    <row r="9">
      <c r="A9" s="6" t="inlineStr">
        <is>
          <t>Cách dùng</t>
        </is>
      </c>
    </row>
    <row r="10">
      <c r="A10" s="7" t="inlineStr">
        <is>
          <t>1. Sheet Experiments: dòng đầu là baseline mẫu. Điền lr và kết quả; thêm dòng cho mỗi thí nghiệm khác.</t>
        </is>
      </c>
    </row>
    <row r="11">
      <c r="A11" s="7" t="inlineStr">
        <is>
          <t>2. Mỗi dòng phải có ảnh riêng figures/&lt;exp_id&gt;.png. Điền tên file vào cột figure_file.</t>
        </is>
      </c>
    </row>
    <row r="12">
      <c r="A12" s="7" t="inlineStr">
        <is>
          <t>3. Sheet Seeds: nhập exp_id của các lần chạy baseline với seed khác nhau (đã gợi ý base-s1..3). Sheet tự tính trung bình, σ và 2σ.</t>
        </is>
      </c>
    </row>
    <row r="13">
      <c r="A13" s="7" t="inlineStr">
        <is>
          <t>4. Cột beyond_noise cho biết chênh lệch val_macro_f1 so với baseline có vượt 2σ không. Chỉ 'Có' mới là bằng chứng.</t>
        </is>
      </c>
    </row>
    <row r="14">
      <c r="A14" s="7" t="inlineStr">
        <is>
          <t>5. Sheet Summary: số dòng theo nhóm và số chủ đề (trong 7) đã được thử.</t>
        </is>
      </c>
    </row>
    <row r="16">
      <c r="A16" s="6" t="inlineStr">
        <is>
          <t>Từ điển cột (sheet Experiments)</t>
        </is>
      </c>
    </row>
    <row r="17">
      <c r="A17" s="1" t="inlineStr">
        <is>
          <t>Cột</t>
        </is>
      </c>
      <c r="B17" s="1" t="inlineStr">
        <is>
          <t>Ý nghĩa</t>
        </is>
      </c>
      <c r="C17" s="1" t="inlineStr">
        <is>
          <t>Cách điền</t>
        </is>
      </c>
    </row>
    <row r="18">
      <c r="A18" s="16" t="inlineStr">
        <is>
          <t>exp_id</t>
        </is>
      </c>
      <c r="B18" s="17" t="inlineStr">
        <is>
          <t>Mã thí nghiệm, duy nhất; trùng tên file ảnh</t>
        </is>
      </c>
      <c r="C18" s="17" t="inlineStr">
        <is>
          <t>Tự đặt, ví dụ base-s1, opt-adam-lr1e-3, drop-0.3.</t>
        </is>
      </c>
    </row>
    <row r="19" ht="23.85" customHeight="1">
      <c r="A19" s="16" t="inlineStr">
        <is>
          <t>group</t>
        </is>
      </c>
      <c r="B19" s="17" t="inlineStr">
        <is>
          <t>Nhóm: baseline | loss | optimizer | hparam | dropout | clipping | amp | init | final | other</t>
        </is>
      </c>
      <c r="C19" s="17" t="inlineStr">
        <is>
          <t>Chọn từ danh sách.</t>
        </is>
      </c>
    </row>
    <row r="20">
      <c r="A20" s="16" t="inlineStr">
        <is>
          <t>description</t>
        </is>
      </c>
      <c r="B20" s="17" t="inlineStr">
        <is>
          <t>Bạn đổi gì so với baseline</t>
        </is>
      </c>
      <c r="C20" s="17" t="inlineStr">
        <is>
          <t>Một câu.</t>
        </is>
      </c>
    </row>
    <row r="21">
      <c r="A21" s="16" t="inlineStr">
        <is>
          <t>loss</t>
        </is>
      </c>
      <c r="B21" s="17" t="inlineStr">
        <is>
          <t>Hàm mất mát: CE | MSE</t>
        </is>
      </c>
      <c r="C21" s="17" t="inlineStr">
        <is>
          <t>Chọn từ danh sách.</t>
        </is>
      </c>
    </row>
    <row r="22">
      <c r="A22" s="16" t="inlineStr">
        <is>
          <t>optimizer</t>
        </is>
      </c>
      <c r="B22" s="17" t="inlineStr">
        <is>
          <t>SGD | SGD+momentum | Adam | AdamW</t>
        </is>
      </c>
      <c r="C22" s="17" t="inlineStr">
        <is>
          <t>Chọn từ danh sách.</t>
        </is>
      </c>
    </row>
    <row r="23">
      <c r="A23" s="16" t="inlineStr">
        <is>
          <t>lr</t>
        </is>
      </c>
      <c r="B23" s="17" t="inlineStr">
        <is>
          <t>Tốc độ học η</t>
        </is>
      </c>
      <c r="C23" s="17" t="inlineStr">
        <is>
          <t>Ghi số, ví dụ 0.05 hoặc 1e-3.</t>
        </is>
      </c>
    </row>
    <row r="24">
      <c r="A24" s="16" t="inlineStr">
        <is>
          <t>weight_decay</t>
        </is>
      </c>
      <c r="B24" s="17" t="inlineStr">
        <is>
          <t>Hệ số suy giảm trọng số λ</t>
        </is>
      </c>
      <c r="C24" s="17" t="inlineStr">
        <is>
          <t>0 nếu không dùng.</t>
        </is>
      </c>
    </row>
    <row r="25">
      <c r="A25" s="16" t="inlineStr">
        <is>
          <t>batch</t>
        </is>
      </c>
      <c r="B25" s="17" t="inlineStr">
        <is>
          <t>Kích thước lô</t>
        </is>
      </c>
      <c r="C25" s="17" t="inlineStr">
        <is>
          <t>Số nguyên.</t>
        </is>
      </c>
    </row>
    <row r="26">
      <c r="A26" s="16" t="inlineStr">
        <is>
          <t>epochs</t>
        </is>
      </c>
      <c r="B26" s="17" t="inlineStr">
        <is>
          <t>Số epoch</t>
        </is>
      </c>
      <c r="C26" s="17" t="inlineStr">
        <is>
          <t>Khuyến nghị 20 cho mọi thí nghiệm.</t>
        </is>
      </c>
    </row>
    <row r="27">
      <c r="A27" s="16" t="inlineStr">
        <is>
          <t>hidden</t>
        </is>
      </c>
      <c r="B27" s="17" t="inlineStr">
        <is>
          <t>Các lớp ẩn, ví dụ 256-128</t>
        </is>
      </c>
      <c r="C27" s="17" t="inlineStr">
        <is>
          <t>Chuỗi nối bằng dấu gạch.</t>
        </is>
      </c>
    </row>
    <row r="28">
      <c r="A28" s="16" t="inlineStr">
        <is>
          <t>dropout</t>
        </is>
      </c>
      <c r="B28" s="17" t="inlineStr">
        <is>
          <t>Xác suất tắt nơ-ron q</t>
        </is>
      </c>
      <c r="C28" s="17" t="inlineStr">
        <is>
          <t>0 nếu không dùng.</t>
        </is>
      </c>
    </row>
    <row r="29">
      <c r="A29" s="16" t="inlineStr">
        <is>
          <t>clip_norm</t>
        </is>
      </c>
      <c r="B29" s="17" t="inlineStr">
        <is>
          <t>Ngưỡng cắt gradient c</t>
        </is>
      </c>
      <c r="C29" s="17" t="inlineStr">
        <is>
          <t>'none' nếu không clip, hoặc số.</t>
        </is>
      </c>
    </row>
    <row r="30">
      <c r="A30" s="16" t="inlineStr">
        <is>
          <t>precision</t>
        </is>
      </c>
      <c r="B30" s="17" t="inlineStr">
        <is>
          <t>fp32 | fp16 | bf16</t>
        </is>
      </c>
      <c r="C30" s="17" t="inlineStr">
        <is>
          <t>Chọn từ danh sách.</t>
        </is>
      </c>
    </row>
    <row r="31">
      <c r="A31" s="16" t="inlineStr">
        <is>
          <t>init</t>
        </is>
      </c>
      <c r="B31" s="17" t="inlineStr">
        <is>
          <t>zeros | normal | xavier | he | default</t>
        </is>
      </c>
      <c r="C31" s="17" t="inlineStr">
        <is>
          <t>Chọn từ danh sách; 'default' = mặc định của nn.Linear.</t>
        </is>
      </c>
    </row>
    <row r="32">
      <c r="A32" s="16" t="inlineStr">
        <is>
          <t>seed</t>
        </is>
      </c>
      <c r="B32" s="17" t="inlineStr">
        <is>
          <t>Seed của lần chạy</t>
        </is>
      </c>
      <c r="C32" s="17" t="inlineStr">
        <is>
          <t>Số nguyên.</t>
        </is>
      </c>
    </row>
    <row r="33">
      <c r="A33" s="16" t="inlineStr">
        <is>
          <t>step0_loss</t>
        </is>
      </c>
      <c r="B33" s="17" t="inlineStr">
        <is>
          <t>Loss trên val ở bước 0 (trước cập nhật đầu tiên)</t>
        </is>
      </c>
      <c r="C33" s="17" t="inlineStr">
        <is>
          <t>Kỳ vọng ≈ ln 7 = 1.946 nếu khởi tạo hợp lý.</t>
        </is>
      </c>
    </row>
    <row r="34">
      <c r="A34" s="16" t="inlineStr">
        <is>
          <t>best_val_loss</t>
        </is>
      </c>
      <c r="B34" s="17" t="inlineStr">
        <is>
          <t>Val loss thấp nhất qua các epoch</t>
        </is>
      </c>
      <c r="C34" s="17" t="n"/>
    </row>
    <row r="35">
      <c r="A35" s="16" t="inlineStr">
        <is>
          <t>best_epoch</t>
        </is>
      </c>
      <c r="B35" s="17" t="inlineStr">
        <is>
          <t>Epoch đạt best_val_loss</t>
        </is>
      </c>
      <c r="C35" s="17" t="inlineStr">
        <is>
          <t>Đếm từ 1.</t>
        </is>
      </c>
    </row>
    <row r="36">
      <c r="A36" s="16" t="inlineStr">
        <is>
          <t>final_train_loss</t>
        </is>
      </c>
      <c r="B36" s="17" t="inlineStr">
        <is>
          <t>Train loss ở epoch cuối (đo ở chế độ eval)</t>
        </is>
      </c>
      <c r="C36" s="17" t="n"/>
    </row>
    <row r="37">
      <c r="A37" s="16" t="inlineStr">
        <is>
          <t>final_val_loss</t>
        </is>
      </c>
      <c r="B37" s="17" t="inlineStr">
        <is>
          <t>Val loss ở epoch cuối</t>
        </is>
      </c>
      <c r="C37" s="17" t="n"/>
    </row>
    <row r="38">
      <c r="A38" s="16" t="inlineStr">
        <is>
          <t>val_acc</t>
        </is>
      </c>
      <c r="B38" s="17" t="inlineStr">
        <is>
          <t>Val accuracy ở best_epoch</t>
        </is>
      </c>
      <c r="C38" s="17" t="inlineStr">
        <is>
          <t>Phân số 0–1, ví dụ 0.8123.</t>
        </is>
      </c>
    </row>
    <row r="39">
      <c r="A39" s="16" t="inlineStr">
        <is>
          <t>val_macro_f1</t>
        </is>
      </c>
      <c r="B39" s="17" t="inlineStr">
        <is>
          <t>Val macro-F1 ở best_epoch</t>
        </is>
      </c>
      <c r="C39" s="17" t="inlineStr">
        <is>
          <t>Phân số 0–1.</t>
        </is>
      </c>
    </row>
    <row r="40">
      <c r="A40" s="16" t="inlineStr">
        <is>
          <t>time_per_epoch_s</t>
        </is>
      </c>
      <c r="B40" s="17" t="inlineStr">
        <is>
          <t>Thời gian trung bình mỗi epoch (giây)</t>
        </is>
      </c>
      <c r="C40" s="17" t="inlineStr">
        <is>
          <t>Có torch.cuda.synchronize().</t>
        </is>
      </c>
    </row>
    <row r="41">
      <c r="A41" s="16" t="inlineStr">
        <is>
          <t>peak_mem_MB</t>
        </is>
      </c>
      <c r="B41" s="17" t="inlineStr">
        <is>
          <t>Bộ nhớ GPU cực đại (MB)</t>
        </is>
      </c>
      <c r="C41" s="17" t="inlineStr">
        <is>
          <t>torch.cuda.max_memory_allocated()/2**20.</t>
        </is>
      </c>
    </row>
    <row r="42">
      <c r="A42" s="16" t="inlineStr">
        <is>
          <t>diverged</t>
        </is>
      </c>
      <c r="B42" s="17" t="inlineStr">
        <is>
          <t>Loss thành NaN/inf? Y | N</t>
        </is>
      </c>
      <c r="C42" s="17" t="inlineStr">
        <is>
          <t>Chọn từ danh sách.</t>
        </is>
      </c>
    </row>
    <row r="43" ht="23.85" customHeight="1">
      <c r="A43" s="16" t="inlineStr">
        <is>
          <t>eval_acc</t>
        </is>
      </c>
      <c r="B43" s="17" t="inlineStr">
        <is>
          <t>Accuracy trên tập eval</t>
        </is>
      </c>
      <c r="C43" s="17" t="inlineStr">
        <is>
          <t>CHỈ điền cho baseline và cấu hình cuối cùng, lấy từ eval_result.json.</t>
        </is>
      </c>
    </row>
    <row r="44" ht="23.85" customHeight="1">
      <c r="A44" s="16" t="inlineStr">
        <is>
          <t>eval_macro_f1</t>
        </is>
      </c>
      <c r="B44" s="17" t="inlineStr">
        <is>
          <t>macro-F1 trên tập eval</t>
        </is>
      </c>
      <c r="C44" s="17" t="inlineStr">
        <is>
          <t>CHỈ điền cho baseline và cấu hình cuối cùng, lấy từ eval_result.json.</t>
        </is>
      </c>
    </row>
    <row r="45">
      <c r="A45" s="16" t="inlineStr">
        <is>
          <t>figure_file</t>
        </is>
      </c>
      <c r="B45" s="17" t="inlineStr">
        <is>
          <t>Tên file ảnh</t>
        </is>
      </c>
      <c r="C45" s="17" t="inlineStr">
        <is>
          <t>figures/&lt;exp_id&gt;.png</t>
        </is>
      </c>
    </row>
    <row r="46">
      <c r="A46" s="16" t="inlineStr">
        <is>
          <t>notes</t>
        </is>
      </c>
      <c r="B46" s="17" t="inlineStr">
        <is>
          <t>Ghi chú</t>
        </is>
      </c>
      <c r="C46" s="17" t="inlineStr">
        <is>
          <t>Dự đoán trước, quan sát, lý do thiếu số liệu, lỗi gặp phải...</t>
        </is>
      </c>
    </row>
    <row r="47">
      <c r="A47" s="16" t="inlineStr">
        <is>
          <t>step0_gap_vs_lnC</t>
        </is>
      </c>
      <c r="B47" s="17" t="inlineStr">
        <is>
          <t>step0_loss − ln 7</t>
        </is>
      </c>
      <c r="C47" s="17" t="inlineStr">
        <is>
          <t>Tự tính. Gần 0 là tốt.</t>
        </is>
      </c>
    </row>
    <row r="48">
      <c r="A48" s="16" t="inlineStr">
        <is>
          <t>gap_val_minus_train</t>
        </is>
      </c>
      <c r="B48" s="17" t="inlineStr">
        <is>
          <t>final_val_loss − final_train_loss</t>
        </is>
      </c>
      <c r="C48" s="17" t="inlineStr">
        <is>
          <t>Tự tính. Khoảng cách quá khớp.</t>
        </is>
      </c>
    </row>
    <row r="49">
      <c r="A49" s="16" t="inlineStr">
        <is>
          <t>delta_val_f1_vs_base</t>
        </is>
      </c>
      <c r="B49" s="17" t="inlineStr">
        <is>
          <t>val_macro_f1 − trung bình baseline</t>
        </is>
      </c>
      <c r="C49" s="17" t="inlineStr">
        <is>
          <t>Tự tính từ sheet Seeds.</t>
        </is>
      </c>
    </row>
    <row r="50">
      <c r="A50" s="16" t="inlineStr">
        <is>
          <t>beyond_noise</t>
        </is>
      </c>
      <c r="B50" s="17" t="inlineStr">
        <is>
          <t>|delta| &gt; 2σ_seed ?</t>
        </is>
      </c>
      <c r="C50" s="17" t="inlineStr">
        <is>
          <t>Tự tính: Có / Không. Cần ≥ 2 seed baseline trong sheet Seeds.</t>
        </is>
      </c>
    </row>
    <row r="52">
      <c r="A52" s="6" t="inlineStr">
        <is>
          <t>Ví dụ một dòng điền xong (SỐ MINH HOẠ ĐỊNH DẠNG, KHÔNG PHẢI KẾT QUẢ THẬT — đừng sao chép)</t>
        </is>
      </c>
    </row>
    <row r="53" ht="23.85" customHeight="1">
      <c r="A53" s="18" t="inlineStr">
        <is>
          <t>exp_id</t>
        </is>
      </c>
      <c r="B53" s="18" t="inlineStr">
        <is>
          <t>group</t>
        </is>
      </c>
      <c r="C53" s="18" t="inlineStr">
        <is>
          <t>optimizer</t>
        </is>
      </c>
      <c r="D53" s="18" t="inlineStr">
        <is>
          <t>lr</t>
        </is>
      </c>
      <c r="E53" s="18" t="inlineStr">
        <is>
          <t>step0_loss</t>
        </is>
      </c>
      <c r="F53" s="18" t="inlineStr">
        <is>
          <t>best_val_loss</t>
        </is>
      </c>
      <c r="G53" s="18" t="inlineStr">
        <is>
          <t>best_epoch</t>
        </is>
      </c>
      <c r="H53" s="18" t="inlineStr">
        <is>
          <t>val_acc</t>
        </is>
      </c>
      <c r="I53" s="18" t="inlineStr">
        <is>
          <t>val_macro_f1</t>
        </is>
      </c>
      <c r="J53" s="18" t="inlineStr">
        <is>
          <t>time_per_epoch_s</t>
        </is>
      </c>
      <c r="K53" s="18" t="inlineStr">
        <is>
          <t>diverged</t>
        </is>
      </c>
      <c r="L53" s="18" t="inlineStr">
        <is>
          <t>figure_file</t>
        </is>
      </c>
    </row>
    <row r="54">
      <c r="A54" s="2" t="inlineStr">
        <is>
          <t>opt-adam-lr1e-3</t>
        </is>
      </c>
      <c r="B54" s="2" t="inlineStr">
        <is>
          <t>optimizer</t>
        </is>
      </c>
      <c r="C54" s="2" t="inlineStr">
        <is>
          <t>Adam</t>
        </is>
      </c>
      <c r="D54" s="2" t="n">
        <v>0.001</v>
      </c>
      <c r="E54" s="2" t="n">
        <v>1.95</v>
      </c>
      <c r="F54" s="2" t="n">
        <v>0.6</v>
      </c>
      <c r="G54" s="2" t="n">
        <v>18</v>
      </c>
      <c r="H54" s="2" t="n">
        <v>0.75</v>
      </c>
      <c r="I54" s="2" t="n">
        <v>0.65</v>
      </c>
      <c r="J54" s="2" t="n">
        <v>2.1</v>
      </c>
      <c r="K54" s="2" t="inlineStr">
        <is>
          <t>N</t>
        </is>
      </c>
      <c r="L54" s="2" t="inlineStr">
        <is>
          <t>figures/opt-adam-lr1e-3.png</t>
        </is>
      </c>
    </row>
    <row r="56">
      <c r="A56" s="7" t="inlineStr">
        <is>
          <t>ln 7 = 1.9459 (loss bước 0 kỳ vọng với 7 lớp). Ngưỡng nhiễu = 2 × độ lệch chuẩn của các seed baseline.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1"/>
  <sheetViews>
    <sheetView workbookViewId="0">
      <pane xSplit="1" ySplit="1" topLeftCell="B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8.676190476190479" defaultRowHeight="15"/>
  <cols>
    <col width="16" customWidth="1" min="1" max="1"/>
    <col width="11" customWidth="1" min="2" max="2"/>
    <col width="34" customWidth="1" min="3" max="3"/>
    <col width="8" customWidth="1" min="4" max="4"/>
    <col width="15" customWidth="1" min="5" max="5"/>
    <col width="9" customWidth="1" min="6" max="7"/>
    <col width="7" customWidth="1" min="8" max="9"/>
    <col width="12" customWidth="1" min="10" max="10"/>
    <col width="8" customWidth="1" min="11" max="11"/>
    <col width="9" customWidth="1" min="12" max="12"/>
    <col width="10" customWidth="1" min="13" max="13"/>
    <col width="9" customWidth="1" min="14" max="14"/>
    <col width="6" customWidth="1" min="15" max="15"/>
    <col width="10" customWidth="1" min="16" max="17"/>
    <col width="8" customWidth="1" min="18" max="18"/>
    <col width="10" customWidth="1" min="19" max="20"/>
    <col width="9" customWidth="1" min="21" max="22"/>
    <col width="10" customWidth="1" min="23" max="23"/>
    <col width="9" customWidth="1" min="24" max="27"/>
    <col width="22" customWidth="1" min="28" max="28"/>
    <col width="36" customWidth="1" min="29" max="29"/>
    <col width="10" customWidth="1" min="30" max="32"/>
    <col width="9" customWidth="1" min="33" max="33"/>
  </cols>
  <sheetData>
    <row r="1" ht="42" customHeight="1">
      <c r="A1" s="1" t="inlineStr">
        <is>
          <t>exp_id</t>
        </is>
      </c>
      <c r="B1" s="1" t="inlineStr">
        <is>
          <t>group</t>
        </is>
      </c>
      <c r="C1" s="1" t="inlineStr">
        <is>
          <t>description</t>
        </is>
      </c>
      <c r="D1" s="1" t="inlineStr">
        <is>
          <t>loss</t>
        </is>
      </c>
      <c r="E1" s="1" t="inlineStr">
        <is>
          <t>optimizer</t>
        </is>
      </c>
      <c r="F1" s="1" t="inlineStr">
        <is>
          <t>lr</t>
        </is>
      </c>
      <c r="G1" s="1" t="inlineStr">
        <is>
          <t>weight_decay</t>
        </is>
      </c>
      <c r="H1" s="1" t="inlineStr">
        <is>
          <t>batch</t>
        </is>
      </c>
      <c r="I1" s="1" t="inlineStr">
        <is>
          <t>epochs</t>
        </is>
      </c>
      <c r="J1" s="1" t="inlineStr">
        <is>
          <t>hidden</t>
        </is>
      </c>
      <c r="K1" s="1" t="inlineStr">
        <is>
          <t>dropout</t>
        </is>
      </c>
      <c r="L1" s="1" t="inlineStr">
        <is>
          <t>clip_norm</t>
        </is>
      </c>
      <c r="M1" s="1" t="inlineStr">
        <is>
          <t>precision</t>
        </is>
      </c>
      <c r="N1" s="1" t="inlineStr">
        <is>
          <t>init</t>
        </is>
      </c>
      <c r="O1" s="1" t="inlineStr">
        <is>
          <t>seed</t>
        </is>
      </c>
      <c r="P1" s="1" t="inlineStr">
        <is>
          <t>step0_loss</t>
        </is>
      </c>
      <c r="Q1" s="1" t="inlineStr">
        <is>
          <t>best_val_loss</t>
        </is>
      </c>
      <c r="R1" s="1" t="inlineStr">
        <is>
          <t>best_epoch</t>
        </is>
      </c>
      <c r="S1" s="1" t="inlineStr">
        <is>
          <t>final_train_loss</t>
        </is>
      </c>
      <c r="T1" s="1" t="inlineStr">
        <is>
          <t>final_val_loss</t>
        </is>
      </c>
      <c r="U1" s="1" t="inlineStr">
        <is>
          <t>val_acc</t>
        </is>
      </c>
      <c r="V1" s="1" t="inlineStr">
        <is>
          <t>val_macro_f1</t>
        </is>
      </c>
      <c r="W1" s="1" t="inlineStr">
        <is>
          <t>time_per_epoch_s</t>
        </is>
      </c>
      <c r="X1" s="1" t="inlineStr">
        <is>
          <t>peak_mem_MB</t>
        </is>
      </c>
      <c r="Y1" s="1" t="inlineStr">
        <is>
          <t>diverged</t>
        </is>
      </c>
      <c r="Z1" s="1" t="inlineStr">
        <is>
          <t>eval_acc</t>
        </is>
      </c>
      <c r="AA1" s="1" t="inlineStr">
        <is>
          <t>eval_macro_f1</t>
        </is>
      </c>
      <c r="AB1" s="1" t="inlineStr">
        <is>
          <t>figure_file</t>
        </is>
      </c>
      <c r="AC1" s="1" t="inlineStr">
        <is>
          <t>notes</t>
        </is>
      </c>
      <c r="AD1" s="1" t="inlineStr">
        <is>
          <t>step0_gap_vs_lnC</t>
        </is>
      </c>
      <c r="AE1" s="1" t="inlineStr">
        <is>
          <t>gap_val_minus_train</t>
        </is>
      </c>
      <c r="AF1" s="1" t="inlineStr">
        <is>
          <t>delta_val_f1_vs_base</t>
        </is>
      </c>
      <c r="AG1" s="1" t="inlineStr">
        <is>
          <t>beyond_noise</t>
        </is>
      </c>
    </row>
    <row r="2">
      <c r="A2" s="8" t="inlineStr">
        <is>
          <t>base-s1</t>
        </is>
      </c>
      <c r="B2" s="8" t="inlineStr">
        <is>
          <t>baseline</t>
        </is>
      </c>
      <c r="C2" s="8" t="inlineStr">
        <is>
          <t>Baseline M-base, lr=0.3, seed 1</t>
        </is>
      </c>
      <c r="D2" s="8" t="inlineStr">
        <is>
          <t>CE</t>
        </is>
      </c>
      <c r="E2" s="8" t="inlineStr">
        <is>
          <t>SGD+momentum</t>
        </is>
      </c>
      <c r="F2" s="9" t="n">
        <v>0.3</v>
      </c>
      <c r="G2" s="8" t="n">
        <v>0</v>
      </c>
      <c r="H2" s="8" t="n">
        <v>512</v>
      </c>
      <c r="I2" s="8" t="n">
        <v>20</v>
      </c>
      <c r="J2" s="8" t="inlineStr">
        <is>
          <t>256-128</t>
        </is>
      </c>
      <c r="K2" s="8" t="n">
        <v>0</v>
      </c>
      <c r="L2" s="8" t="inlineStr">
        <is>
          <t>none</t>
        </is>
      </c>
      <c r="M2" s="8" t="inlineStr">
        <is>
          <t>fp32</t>
        </is>
      </c>
      <c r="N2" s="8" t="inlineStr">
        <is>
          <t>he</t>
        </is>
      </c>
      <c r="O2" s="8" t="n">
        <v>1</v>
      </c>
      <c r="P2" s="19" t="n">
        <v>2.2690618110553</v>
      </c>
      <c r="Q2" s="19" t="n">
        <v>0.22211565281967</v>
      </c>
      <c r="R2" s="9" t="n">
        <v>20</v>
      </c>
      <c r="S2" s="19" t="n">
        <v>0.198570026903153</v>
      </c>
      <c r="T2" s="19" t="n">
        <v>0.22211565281967</v>
      </c>
      <c r="U2" s="19" t="n">
        <v>0.9108668057916141</v>
      </c>
      <c r="V2" s="19" t="n">
        <v>0.859861299164417</v>
      </c>
      <c r="W2" s="9" t="n">
        <v>1.34432023389999</v>
      </c>
      <c r="X2" s="9" t="n">
        <v>167.359375</v>
      </c>
      <c r="Y2" s="9" t="inlineStr">
        <is>
          <t>N</t>
        </is>
      </c>
      <c r="Z2" s="19" t="n">
        <v>0.910966154057985</v>
      </c>
      <c r="AA2" s="19" t="n">
        <v>0.857382361218289</v>
      </c>
      <c r="AB2" s="9" t="inlineStr">
        <is>
          <t>figures/base-s1.png</t>
        </is>
      </c>
      <c r="AC2" s="9" t="inlineStr">
        <is>
          <t>baseline, seed 1; eval = mô hình huấn luyện lại trên CPU (val macro-F1 chạy lại 0.8536, best epoch 20); các cột val ở dòng này là của lần chạy gốc (GPU T4)</t>
        </is>
      </c>
      <c r="AD2" s="20">
        <f>IF(P2="","",P2-LN(7))</f>
        <v/>
      </c>
      <c r="AE2" s="20">
        <f>IF(OR(T2="",S2=""),"",T2-S2)</f>
        <v/>
      </c>
      <c r="AF2" s="20">
        <f>IF(OR(V2="",Seeds!$C$8=""),"",V2-Seeds!$C$8)</f>
        <v/>
      </c>
      <c r="AG2" s="20">
        <f>IF(OR(AF2="",Seeds!$C$10=""),"",IF(ABS(AF2)&gt;Seeds!$C$10,"Có","Không"))</f>
        <v/>
      </c>
    </row>
    <row r="3">
      <c r="A3" s="9" t="inlineStr">
        <is>
          <t>base-s2</t>
        </is>
      </c>
      <c r="B3" s="9" t="inlineStr">
        <is>
          <t>baseline</t>
        </is>
      </c>
      <c r="C3" s="9" t="inlineStr">
        <is>
          <t>Baseline M-base, lr=0.3, seed 2</t>
        </is>
      </c>
      <c r="D3" s="9" t="inlineStr">
        <is>
          <t>CE</t>
        </is>
      </c>
      <c r="E3" s="9" t="inlineStr">
        <is>
          <t>SGD+momentum</t>
        </is>
      </c>
      <c r="F3" s="9" t="n">
        <v>0.3</v>
      </c>
      <c r="G3" s="9" t="n">
        <v>0</v>
      </c>
      <c r="H3" s="9" t="n">
        <v>512</v>
      </c>
      <c r="I3" s="9" t="n">
        <v>20</v>
      </c>
      <c r="J3" s="9" t="inlineStr">
        <is>
          <t>256-128</t>
        </is>
      </c>
      <c r="K3" s="9" t="n">
        <v>0</v>
      </c>
      <c r="L3" s="9" t="inlineStr">
        <is>
          <t>none</t>
        </is>
      </c>
      <c r="M3" s="9" t="inlineStr">
        <is>
          <t>fp32</t>
        </is>
      </c>
      <c r="N3" s="9" t="inlineStr">
        <is>
          <t>he</t>
        </is>
      </c>
      <c r="O3" s="9" t="n">
        <v>2</v>
      </c>
      <c r="P3" s="19" t="n">
        <v>1.97815671191204</v>
      </c>
      <c r="Q3" s="19" t="n">
        <v>0.221460246757807</v>
      </c>
      <c r="R3" s="9" t="n">
        <v>19</v>
      </c>
      <c r="S3" s="19" t="n">
        <v>0.194901556348801</v>
      </c>
      <c r="T3" s="19" t="n">
        <v>0.222936980013236</v>
      </c>
      <c r="U3" s="19" t="n">
        <v>0.912856866246423</v>
      </c>
      <c r="V3" s="19" t="n">
        <v>0.853670322003474</v>
      </c>
      <c r="W3" s="9" t="n">
        <v>1.32028302749999</v>
      </c>
      <c r="X3" s="9" t="n">
        <v>167.359375</v>
      </c>
      <c r="Y3" s="9" t="inlineStr">
        <is>
          <t>N</t>
        </is>
      </c>
      <c r="Z3" s="19" t="n">
        <v>0.915363630887327</v>
      </c>
      <c r="AA3" s="19" t="n">
        <v>0.870134595209462</v>
      </c>
      <c r="AB3" s="9" t="inlineStr">
        <is>
          <t>figures/base-s2.png</t>
        </is>
      </c>
      <c r="AC3" s="9" t="inlineStr">
        <is>
          <t>eval = mô hình huấn luyện lại trên CPU (val macro-F1 chạy lại 0.8649, best epoch 19); các cột val ở dòng này là của lần chạy gốc (GPU T4)</t>
        </is>
      </c>
      <c r="AD3" s="20">
        <f>IF(P3="","",P3-LN(7))</f>
        <v/>
      </c>
      <c r="AE3" s="20">
        <f>IF(OR(T3="",S3=""),"",T3-S3)</f>
        <v/>
      </c>
      <c r="AF3" s="20">
        <f>IF(OR(V3="",Seeds!$C$8=""),"",V3-Seeds!$C$8)</f>
        <v/>
      </c>
      <c r="AG3" s="20">
        <f>IF(OR(AF3="",Seeds!$C$10=""),"",IF(ABS(AF3)&gt;Seeds!$C$10,"Có","Không"))</f>
        <v/>
      </c>
    </row>
    <row r="4">
      <c r="A4" s="9" t="inlineStr">
        <is>
          <t>base-s3</t>
        </is>
      </c>
      <c r="B4" s="9" t="inlineStr">
        <is>
          <t>baseline</t>
        </is>
      </c>
      <c r="C4" s="9" t="inlineStr">
        <is>
          <t>Baseline M-base, lr=0.3, seed 3</t>
        </is>
      </c>
      <c r="D4" s="9" t="inlineStr">
        <is>
          <t>CE</t>
        </is>
      </c>
      <c r="E4" s="9" t="inlineStr">
        <is>
          <t>SGD+momentum</t>
        </is>
      </c>
      <c r="F4" s="9" t="n">
        <v>0.3</v>
      </c>
      <c r="G4" s="9" t="n">
        <v>0</v>
      </c>
      <c r="H4" s="9" t="n">
        <v>512</v>
      </c>
      <c r="I4" s="9" t="n">
        <v>20</v>
      </c>
      <c r="J4" s="9" t="inlineStr">
        <is>
          <t>256-128</t>
        </is>
      </c>
      <c r="K4" s="9" t="n">
        <v>0</v>
      </c>
      <c r="L4" s="9" t="inlineStr">
        <is>
          <t>none</t>
        </is>
      </c>
      <c r="M4" s="9" t="inlineStr">
        <is>
          <t>fp32</t>
        </is>
      </c>
      <c r="N4" s="9" t="inlineStr">
        <is>
          <t>he</t>
        </is>
      </c>
      <c r="O4" s="9" t="n">
        <v>3</v>
      </c>
      <c r="P4" s="19" t="n">
        <v>1.90053992039216</v>
      </c>
      <c r="Q4" s="19" t="n">
        <v>0.219329881439449</v>
      </c>
      <c r="R4" s="9" t="n">
        <v>19</v>
      </c>
      <c r="S4" s="19" t="n">
        <v>0.198992599387169</v>
      </c>
      <c r="T4" s="19" t="n">
        <v>0.226271036948462</v>
      </c>
      <c r="U4" s="19" t="n">
        <v>0.91226522665175</v>
      </c>
      <c r="V4" s="19" t="n">
        <v>0.860328860775593</v>
      </c>
      <c r="W4" s="9" t="n">
        <v>1.3086823578</v>
      </c>
      <c r="X4" s="9" t="n">
        <v>167.359375</v>
      </c>
      <c r="Y4" s="9" t="inlineStr">
        <is>
          <t>N</t>
        </is>
      </c>
      <c r="Z4" s="19" t="n">
        <v>0.915527137853584</v>
      </c>
      <c r="AA4" s="19" t="n">
        <v>0.862886344874107</v>
      </c>
      <c r="AB4" s="9" t="inlineStr">
        <is>
          <t>figures/base-s3.png</t>
        </is>
      </c>
      <c r="AC4" s="9" t="inlineStr">
        <is>
          <t>baseline dùng so sánh trên eval (seed có val macro-F1 cao nhất); eval = mô hình huấn luyện lại trên CPU (val macro-F1 chạy lại 0.8566, best epoch 19); các cột val ở dòng này là của lần chạy gốc (GPU T4)</t>
        </is>
      </c>
      <c r="AD4" s="20">
        <f>IF(P4="","",P4-LN(7))</f>
        <v/>
      </c>
      <c r="AE4" s="20">
        <f>IF(OR(T4="",S4=""),"",T4-S4)</f>
        <v/>
      </c>
      <c r="AF4" s="20">
        <f>IF(OR(V4="",Seeds!$C$8=""),"",V4-Seeds!$C$8)</f>
        <v/>
      </c>
      <c r="AG4" s="20">
        <f>IF(OR(AF4="",Seeds!$C$10=""),"",IF(ABS(AF4)&gt;Seeds!$C$10,"Có","Không"))</f>
        <v/>
      </c>
    </row>
    <row r="5">
      <c r="A5" s="9" t="inlineStr">
        <is>
          <t>hp-batch128</t>
        </is>
      </c>
      <c r="B5" s="9" t="inlineStr">
        <is>
          <t>hparam</t>
        </is>
      </c>
      <c r="C5" s="9" t="inlineStr">
        <is>
          <t>batch 128 (lr giữ 0.3)</t>
        </is>
      </c>
      <c r="D5" s="9" t="inlineStr">
        <is>
          <t>CE</t>
        </is>
      </c>
      <c r="E5" s="9" t="inlineStr">
        <is>
          <t>SGD+momentum</t>
        </is>
      </c>
      <c r="F5" s="9" t="n">
        <v>0.3</v>
      </c>
      <c r="G5" s="9" t="n">
        <v>0</v>
      </c>
      <c r="H5" s="9" t="n">
        <v>128</v>
      </c>
      <c r="I5" s="9" t="n">
        <v>20</v>
      </c>
      <c r="J5" s="9" t="inlineStr">
        <is>
          <t>256-128</t>
        </is>
      </c>
      <c r="K5" s="9" t="n">
        <v>0</v>
      </c>
      <c r="L5" s="9" t="inlineStr">
        <is>
          <t>none</t>
        </is>
      </c>
      <c r="M5" s="9" t="inlineStr">
        <is>
          <t>fp32</t>
        </is>
      </c>
      <c r="N5" s="9" t="inlineStr">
        <is>
          <t>he</t>
        </is>
      </c>
      <c r="O5" s="9" t="n">
        <v>1</v>
      </c>
      <c r="P5" s="19" t="n">
        <v>2.2690618110553</v>
      </c>
      <c r="Q5" s="19" t="n">
        <v>0.315941303879948</v>
      </c>
      <c r="R5" s="9" t="n">
        <v>15</v>
      </c>
      <c r="S5" s="19" t="n">
        <v>0.309140283660889</v>
      </c>
      <c r="T5" s="19" t="n">
        <v>0.332042351790507</v>
      </c>
      <c r="U5" s="19" t="n">
        <v>0.875250102192294</v>
      </c>
      <c r="V5" s="19" t="n">
        <v>0.8034827377632719</v>
      </c>
      <c r="W5" s="9" t="n">
        <v>5.0577877443</v>
      </c>
      <c r="X5" s="9" t="n">
        <v>167.32861328125</v>
      </c>
      <c r="Y5" s="9" t="inlineStr">
        <is>
          <t>N</t>
        </is>
      </c>
      <c r="Z5" s="19" t="n"/>
      <c r="AA5" s="19" t="n"/>
      <c r="AB5" s="9" t="inlineStr">
        <is>
          <t>figures/hp-batch128.png</t>
        </is>
      </c>
      <c r="AC5" s="9" t="inlineStr"/>
      <c r="AD5" s="20">
        <f>IF(P5="","",P5-LN(7))</f>
        <v/>
      </c>
      <c r="AE5" s="20">
        <f>IF(OR(T5="",S5=""),"",T5-S5)</f>
        <v/>
      </c>
      <c r="AF5" s="20">
        <f>IF(OR(V5="",Seeds!$C$8=""),"",V5-Seeds!$C$8)</f>
        <v/>
      </c>
      <c r="AG5" s="20">
        <f>IF(OR(AF5="",Seeds!$C$10=""),"",IF(ABS(AF5)&gt;Seeds!$C$10,"Có","Không"))</f>
        <v/>
      </c>
    </row>
    <row r="6">
      <c r="A6" s="9" t="inlineStr">
        <is>
          <t>hp-batch2048</t>
        </is>
      </c>
      <c r="B6" s="9" t="inlineStr">
        <is>
          <t>hparam</t>
        </is>
      </c>
      <c r="C6" s="9" t="inlineStr">
        <is>
          <t>batch 2048 (lr giữ 0.3)</t>
        </is>
      </c>
      <c r="D6" s="9" t="inlineStr">
        <is>
          <t>CE</t>
        </is>
      </c>
      <c r="E6" s="9" t="inlineStr">
        <is>
          <t>SGD+momentum</t>
        </is>
      </c>
      <c r="F6" s="9" t="n">
        <v>0.3</v>
      </c>
      <c r="G6" s="9" t="n">
        <v>0</v>
      </c>
      <c r="H6" s="9" t="n">
        <v>2048</v>
      </c>
      <c r="I6" s="9" t="n">
        <v>20</v>
      </c>
      <c r="J6" s="9" t="inlineStr">
        <is>
          <t>256-128</t>
        </is>
      </c>
      <c r="K6" s="9" t="n">
        <v>0</v>
      </c>
      <c r="L6" s="9" t="inlineStr">
        <is>
          <t>none</t>
        </is>
      </c>
      <c r="M6" s="9" t="inlineStr">
        <is>
          <t>fp32</t>
        </is>
      </c>
      <c r="N6" s="9" t="inlineStr">
        <is>
          <t>he</t>
        </is>
      </c>
      <c r="O6" s="9" t="n">
        <v>1</v>
      </c>
      <c r="P6" s="19" t="n">
        <v>2.2690618110553</v>
      </c>
      <c r="Q6" s="19" t="n">
        <v>0.238143465446935</v>
      </c>
      <c r="R6" s="9" t="n">
        <v>18</v>
      </c>
      <c r="S6" s="19" t="n">
        <v>0.235440317902565</v>
      </c>
      <c r="T6" s="19" t="n">
        <v>0.254360798094836</v>
      </c>
      <c r="U6" s="19" t="n">
        <v>0.904681482756395</v>
      </c>
      <c r="V6" s="19" t="n">
        <v>0.842007801094479</v>
      </c>
      <c r="W6" s="9" t="n">
        <v>0.343759943250007</v>
      </c>
      <c r="X6" s="9" t="n">
        <v>167.60546875</v>
      </c>
      <c r="Y6" s="9" t="inlineStr">
        <is>
          <t>N</t>
        </is>
      </c>
      <c r="Z6" s="19" t="n"/>
      <c r="AA6" s="19" t="n"/>
      <c r="AB6" s="9" t="inlineStr">
        <is>
          <t>figures/hp-batch2048.png</t>
        </is>
      </c>
      <c r="AC6" s="9" t="inlineStr"/>
      <c r="AD6" s="20">
        <f>IF(P6="","",P6-LN(7))</f>
        <v/>
      </c>
      <c r="AE6" s="20">
        <f>IF(OR(T6="",S6=""),"",T6-S6)</f>
        <v/>
      </c>
      <c r="AF6" s="20">
        <f>IF(OR(V6="",Seeds!$C$8=""),"",V6-Seeds!$C$8)</f>
        <v/>
      </c>
      <c r="AG6" s="20">
        <f>IF(OR(AF6="",Seeds!$C$10=""),"",IF(ABS(AF6)&gt;Seeds!$C$10,"Có","Không"))</f>
        <v/>
      </c>
    </row>
    <row r="7">
      <c r="A7" s="9" t="inlineStr">
        <is>
          <t>hp-batch2048-lr1.2</t>
        </is>
      </c>
      <c r="B7" s="9" t="inlineStr">
        <is>
          <t>hparam</t>
        </is>
      </c>
      <c r="C7" s="9" t="inlineStr">
        <is>
          <t>batch 2048, lr 1.2 (quy tắc lr x4 theo lô)</t>
        </is>
      </c>
      <c r="D7" s="9" t="inlineStr">
        <is>
          <t>CE</t>
        </is>
      </c>
      <c r="E7" s="9" t="inlineStr">
        <is>
          <t>SGD+momentum</t>
        </is>
      </c>
      <c r="F7" s="9" t="n">
        <v>1.2</v>
      </c>
      <c r="G7" s="9" t="n">
        <v>0</v>
      </c>
      <c r="H7" s="9" t="n">
        <v>2048</v>
      </c>
      <c r="I7" s="9" t="n">
        <v>20</v>
      </c>
      <c r="J7" s="9" t="inlineStr">
        <is>
          <t>256-128</t>
        </is>
      </c>
      <c r="K7" s="9" t="n">
        <v>0</v>
      </c>
      <c r="L7" s="9" t="inlineStr">
        <is>
          <t>none</t>
        </is>
      </c>
      <c r="M7" s="9" t="inlineStr">
        <is>
          <t>fp32</t>
        </is>
      </c>
      <c r="N7" s="9" t="inlineStr">
        <is>
          <t>he</t>
        </is>
      </c>
      <c r="O7" s="9" t="n">
        <v>1</v>
      </c>
      <c r="P7" s="19" t="n">
        <v>2.2690618110553</v>
      </c>
      <c r="Q7" s="19" t="n">
        <v>1.20522978321666</v>
      </c>
      <c r="R7" s="9" t="n">
        <v>11</v>
      </c>
      <c r="S7" s="19" t="n">
        <v>1.20202849639893</v>
      </c>
      <c r="T7" s="19" t="n">
        <v>1.20533451052285</v>
      </c>
      <c r="U7" s="19" t="n">
        <v>0.487597082678944</v>
      </c>
      <c r="V7" s="19" t="n">
        <v>0.0936499901862545</v>
      </c>
      <c r="W7" s="9" t="n">
        <v>0.332791997599952</v>
      </c>
      <c r="X7" s="9" t="n">
        <v>167.60546875</v>
      </c>
      <c r="Y7" s="9" t="inlineStr">
        <is>
          <t>N</t>
        </is>
      </c>
      <c r="Z7" s="19" t="n"/>
      <c r="AA7" s="19" t="n"/>
      <c r="AB7" s="9" t="inlineStr">
        <is>
          <t>figures/hp-batch2048-lr1.2.png</t>
        </is>
      </c>
      <c r="AC7" s="9" t="inlineStr">
        <is>
          <t>đổi 2 yếu tố (batch + lr), quy tắc tăng lr tuyến tính theo lô, không warm-up</t>
        </is>
      </c>
      <c r="AD7" s="20">
        <f>IF(P7="","",P7-LN(7))</f>
        <v/>
      </c>
      <c r="AE7" s="20">
        <f>IF(OR(T7="",S7=""),"",T7-S7)</f>
        <v/>
      </c>
      <c r="AF7" s="20">
        <f>IF(OR(V7="",Seeds!$C$8=""),"",V7-Seeds!$C$8)</f>
        <v/>
      </c>
      <c r="AG7" s="20">
        <f>IF(OR(AF7="",Seeds!$C$10=""),"",IF(ABS(AF7)&gt;Seeds!$C$10,"Có","Không"))</f>
        <v/>
      </c>
    </row>
    <row r="8">
      <c r="A8" s="9" t="inlineStr">
        <is>
          <t>hp-lr0.6</t>
        </is>
      </c>
      <c r="B8" s="9" t="inlineStr">
        <is>
          <t>hparam</t>
        </is>
      </c>
      <c r="C8" s="9" t="inlineStr">
        <is>
          <t>SGD+momentum, lr=0.6 (mở rộng lưới Part 2)</t>
        </is>
      </c>
      <c r="D8" s="9" t="inlineStr">
        <is>
          <t>CE</t>
        </is>
      </c>
      <c r="E8" s="9" t="inlineStr">
        <is>
          <t>SGD+momentum</t>
        </is>
      </c>
      <c r="F8" s="9" t="n">
        <v>0.6</v>
      </c>
      <c r="G8" s="9" t="n">
        <v>0</v>
      </c>
      <c r="H8" s="9" t="n">
        <v>512</v>
      </c>
      <c r="I8" s="9" t="n">
        <v>20</v>
      </c>
      <c r="J8" s="9" t="inlineStr">
        <is>
          <t>256-128</t>
        </is>
      </c>
      <c r="K8" s="9" t="n">
        <v>0</v>
      </c>
      <c r="L8" s="9" t="inlineStr">
        <is>
          <t>none</t>
        </is>
      </c>
      <c r="M8" s="9" t="inlineStr">
        <is>
          <t>fp32</t>
        </is>
      </c>
      <c r="N8" s="9" t="inlineStr">
        <is>
          <t>he</t>
        </is>
      </c>
      <c r="O8" s="9" t="n">
        <v>1</v>
      </c>
      <c r="P8" s="19" t="n">
        <v>2.2690618110553</v>
      </c>
      <c r="Q8" s="19" t="n">
        <v>0.26995751425723</v>
      </c>
      <c r="R8" s="9" t="n">
        <v>18</v>
      </c>
      <c r="S8" s="19" t="n">
        <v>0.262302454032898</v>
      </c>
      <c r="T8" s="19" t="n">
        <v>0.281080312792076</v>
      </c>
      <c r="U8" s="19" t="n">
        <v>0.889503237882145</v>
      </c>
      <c r="V8" s="19" t="n">
        <v>0.820517524377016</v>
      </c>
      <c r="W8" s="9" t="n">
        <v>1.24810921395001</v>
      </c>
      <c r="X8" s="9" t="n">
        <v>167.359375</v>
      </c>
      <c r="Y8" s="9" t="inlineStr">
        <is>
          <t>N</t>
        </is>
      </c>
      <c r="Z8" s="19" t="n"/>
      <c r="AA8" s="19" t="n"/>
      <c r="AB8" s="9" t="inlineStr">
        <is>
          <t>figures/hp-lr0.6.png</t>
        </is>
      </c>
      <c r="AC8" s="9" t="inlineStr"/>
      <c r="AD8" s="20">
        <f>IF(P8="","",P8-LN(7))</f>
        <v/>
      </c>
      <c r="AE8" s="20">
        <f>IF(OR(T8="",S8=""),"",T8-S8)</f>
        <v/>
      </c>
      <c r="AF8" s="20">
        <f>IF(OR(V8="",Seeds!$C$8=""),"",V8-Seeds!$C$8)</f>
        <v/>
      </c>
      <c r="AG8" s="20">
        <f>IF(OR(AF8="",Seeds!$C$10=""),"",IF(ABS(AF8)&gt;Seeds!$C$10,"Có","Không"))</f>
        <v/>
      </c>
    </row>
    <row r="9">
      <c r="A9" s="9" t="inlineStr">
        <is>
          <t>hp-lr1</t>
        </is>
      </c>
      <c r="B9" s="9" t="inlineStr">
        <is>
          <t>hparam</t>
        </is>
      </c>
      <c r="C9" s="9" t="inlineStr">
        <is>
          <t>SGD+momentum, lr=1 (mở rộng lưới Part 2)</t>
        </is>
      </c>
      <c r="D9" s="9" t="inlineStr">
        <is>
          <t>CE</t>
        </is>
      </c>
      <c r="E9" s="9" t="inlineStr">
        <is>
          <t>SGD+momentum</t>
        </is>
      </c>
      <c r="F9" s="9" t="n">
        <v>1</v>
      </c>
      <c r="G9" s="9" t="n">
        <v>0</v>
      </c>
      <c r="H9" s="9" t="n">
        <v>512</v>
      </c>
      <c r="I9" s="9" t="n">
        <v>20</v>
      </c>
      <c r="J9" s="9" t="inlineStr">
        <is>
          <t>256-128</t>
        </is>
      </c>
      <c r="K9" s="9" t="n">
        <v>0</v>
      </c>
      <c r="L9" s="9" t="inlineStr">
        <is>
          <t>none</t>
        </is>
      </c>
      <c r="M9" s="9" t="inlineStr">
        <is>
          <t>fp32</t>
        </is>
      </c>
      <c r="N9" s="9" t="inlineStr">
        <is>
          <t>he</t>
        </is>
      </c>
      <c r="O9" s="9" t="n">
        <v>1</v>
      </c>
      <c r="P9" s="19" t="n">
        <v>2.2690618110553</v>
      </c>
      <c r="Q9" s="19" t="n">
        <v>0.33077100983152</v>
      </c>
      <c r="R9" s="9" t="n">
        <v>19</v>
      </c>
      <c r="S9" s="19" t="n">
        <v>0.338659861841202</v>
      </c>
      <c r="T9" s="19" t="n">
        <v>0.354711287198241</v>
      </c>
      <c r="U9" s="19" t="n">
        <v>0.869505819582195</v>
      </c>
      <c r="V9" s="19" t="n">
        <v>0.780358081150638</v>
      </c>
      <c r="W9" s="9" t="n">
        <v>1.26349055975002</v>
      </c>
      <c r="X9" s="9" t="n">
        <v>167.359375</v>
      </c>
      <c r="Y9" s="9" t="inlineStr">
        <is>
          <t>N</t>
        </is>
      </c>
      <c r="Z9" s="19" t="n"/>
      <c r="AA9" s="19" t="n"/>
      <c r="AB9" s="9" t="inlineStr">
        <is>
          <t>figures/hp-lr1.png</t>
        </is>
      </c>
      <c r="AC9" s="9" t="inlineStr"/>
      <c r="AD9" s="20">
        <f>IF(P9="","",P9-LN(7))</f>
        <v/>
      </c>
      <c r="AE9" s="20">
        <f>IF(OR(T9="",S9=""),"",T9-S9)</f>
        <v/>
      </c>
      <c r="AF9" s="20">
        <f>IF(OR(V9="",Seeds!$C$8=""),"",V9-Seeds!$C$8)</f>
        <v/>
      </c>
      <c r="AG9" s="20">
        <f>IF(OR(AF9="",Seeds!$C$10=""),"",IF(ABS(AF9)&gt;Seeds!$C$10,"Có","Không"))</f>
        <v/>
      </c>
    </row>
    <row r="10">
      <c r="A10" s="9" t="inlineStr">
        <is>
          <t>hp-wide</t>
        </is>
      </c>
      <c r="B10" s="9" t="inlineStr">
        <is>
          <t>hparam</t>
        </is>
      </c>
      <c r="C10" s="9" t="inlineStr">
        <is>
          <t>M-wide 54-512-256-7 (161 287 tham số)</t>
        </is>
      </c>
      <c r="D10" s="9" t="inlineStr">
        <is>
          <t>CE</t>
        </is>
      </c>
      <c r="E10" s="9" t="inlineStr">
        <is>
          <t>SGD+momentum</t>
        </is>
      </c>
      <c r="F10" s="9" t="n">
        <v>0.3</v>
      </c>
      <c r="G10" s="9" t="n">
        <v>0</v>
      </c>
      <c r="H10" s="9" t="n">
        <v>512</v>
      </c>
      <c r="I10" s="9" t="n">
        <v>20</v>
      </c>
      <c r="J10" s="9" t="inlineStr">
        <is>
          <t>512-256</t>
        </is>
      </c>
      <c r="K10" s="9" t="n">
        <v>0</v>
      </c>
      <c r="L10" s="9" t="inlineStr">
        <is>
          <t>none</t>
        </is>
      </c>
      <c r="M10" s="9" t="inlineStr">
        <is>
          <t>fp32</t>
        </is>
      </c>
      <c r="N10" s="9" t="inlineStr">
        <is>
          <t>he</t>
        </is>
      </c>
      <c r="O10" s="9" t="n">
        <v>1</v>
      </c>
      <c r="P10" s="19" t="n">
        <v>1.91821656565445</v>
      </c>
      <c r="Q10" s="19" t="n">
        <v>0.199295869756118</v>
      </c>
      <c r="R10" s="9" t="n">
        <v>20</v>
      </c>
      <c r="S10" s="19" t="n">
        <v>0.167582277798653</v>
      </c>
      <c r="T10" s="19" t="n">
        <v>0.199295869756118</v>
      </c>
      <c r="U10" s="19" t="n">
        <v>0.922054172672705</v>
      </c>
      <c r="V10" s="19" t="n">
        <v>0.872067805586166</v>
      </c>
      <c r="W10" s="9" t="n">
        <v>1.27642695235002</v>
      </c>
      <c r="X10" s="9" t="n">
        <v>182.89453125</v>
      </c>
      <c r="Y10" s="9" t="inlineStr">
        <is>
          <t>N</t>
        </is>
      </c>
      <c r="Z10" s="19" t="n">
        <v>0.920527008769137</v>
      </c>
      <c r="AA10" s="19" t="n">
        <v>0.876063470632177</v>
      </c>
      <c r="AB10" s="9" t="inlineStr">
        <is>
          <t>figures/hp-wide.png</t>
        </is>
      </c>
      <c r="AC10" s="9" t="inlineStr">
        <is>
          <t>cấu hình cuối M-wide, seed 1; MÔ HÌNH NỘP (predictions_eval.csv, chọn bằng val macro-F1); eval = mô hình huấn luyện lại trên CPU (val macro-F1 chạy lại 0.8774, best epoch 18); các cột val ở dòng này là của lần chạy gốc (GPU T4)</t>
        </is>
      </c>
      <c r="AD10" s="20">
        <f>IF(P10="","",P10-LN(7))</f>
        <v/>
      </c>
      <c r="AE10" s="20">
        <f>IF(OR(T10="",S10=""),"",T10-S10)</f>
        <v/>
      </c>
      <c r="AF10" s="20">
        <f>IF(OR(V10="",Seeds!$C$8=""),"",V10-Seeds!$C$8)</f>
        <v/>
      </c>
      <c r="AG10" s="20">
        <f>IF(OR(AF10="",Seeds!$C$10=""),"",IF(ABS(AF10)&gt;Seeds!$C$10,"Có","Không"))</f>
        <v/>
      </c>
    </row>
    <row r="11">
      <c r="A11" s="9" t="inlineStr">
        <is>
          <t>lr-0.003</t>
        </is>
      </c>
      <c r="B11" s="9" t="inlineStr">
        <is>
          <t>hparam</t>
        </is>
      </c>
      <c r="C11" s="9" t="inlineStr">
        <is>
          <t>Baseline M-base, tìm lr = 0.003 (seed 1)</t>
        </is>
      </c>
      <c r="D11" s="9" t="inlineStr">
        <is>
          <t>CE</t>
        </is>
      </c>
      <c r="E11" s="9" t="inlineStr">
        <is>
          <t>SGD+momentum</t>
        </is>
      </c>
      <c r="F11" s="9" t="n">
        <v>0.003</v>
      </c>
      <c r="G11" s="9" t="n">
        <v>0</v>
      </c>
      <c r="H11" s="9" t="n">
        <v>512</v>
      </c>
      <c r="I11" s="9" t="n">
        <v>20</v>
      </c>
      <c r="J11" s="9" t="inlineStr">
        <is>
          <t>256-128</t>
        </is>
      </c>
      <c r="K11" s="9" t="n">
        <v>0</v>
      </c>
      <c r="L11" s="9" t="inlineStr">
        <is>
          <t>none</t>
        </is>
      </c>
      <c r="M11" s="9" t="inlineStr">
        <is>
          <t>fp32</t>
        </is>
      </c>
      <c r="N11" s="9" t="inlineStr">
        <is>
          <t>he</t>
        </is>
      </c>
      <c r="O11" s="9" t="n">
        <v>1</v>
      </c>
      <c r="P11" s="19" t="n">
        <v>2.2690618110553</v>
      </c>
      <c r="Q11" s="19" t="n">
        <v>0.419457907104104</v>
      </c>
      <c r="R11" s="9" t="n">
        <v>20</v>
      </c>
      <c r="S11" s="19" t="n">
        <v>0.415874601888657</v>
      </c>
      <c r="T11" s="19" t="n">
        <v>0.419457907104104</v>
      </c>
      <c r="U11" s="19" t="n">
        <v>0.825746003743465</v>
      </c>
      <c r="V11" s="19" t="n">
        <v>0.665749740707044</v>
      </c>
      <c r="W11" s="9" t="n">
        <v>1.33244602504999</v>
      </c>
      <c r="X11" s="9" t="n">
        <v>167.359375</v>
      </c>
      <c r="Y11" s="9" t="inlineStr">
        <is>
          <t>N</t>
        </is>
      </c>
      <c r="Z11" s="19" t="n"/>
      <c r="AA11" s="19" t="n"/>
      <c r="AB11" s="9" t="inlineStr">
        <is>
          <t>figures/lr-0.003.png</t>
        </is>
      </c>
      <c r="AC11" s="9" t="inlineStr"/>
      <c r="AD11" s="20">
        <f>IF(P11="","",P11-LN(7))</f>
        <v/>
      </c>
      <c r="AE11" s="20">
        <f>IF(OR(T11="",S11=""),"",T11-S11)</f>
        <v/>
      </c>
      <c r="AF11" s="20">
        <f>IF(OR(V11="",Seeds!$C$8=""),"",V11-Seeds!$C$8)</f>
        <v/>
      </c>
      <c r="AG11" s="20">
        <f>IF(OR(AF11="",Seeds!$C$10=""),"",IF(ABS(AF11)&gt;Seeds!$C$10,"Có","Không"))</f>
        <v/>
      </c>
    </row>
    <row r="12">
      <c r="A12" s="9" t="inlineStr">
        <is>
          <t>lr-0.01</t>
        </is>
      </c>
      <c r="B12" s="9" t="inlineStr">
        <is>
          <t>hparam</t>
        </is>
      </c>
      <c r="C12" s="9" t="inlineStr">
        <is>
          <t>Baseline M-base, tìm lr = 0.01 (seed 1)</t>
        </is>
      </c>
      <c r="D12" s="9" t="inlineStr">
        <is>
          <t>CE</t>
        </is>
      </c>
      <c r="E12" s="9" t="inlineStr">
        <is>
          <t>SGD+momentum</t>
        </is>
      </c>
      <c r="F12" s="9" t="n">
        <v>0.01</v>
      </c>
      <c r="G12" s="9" t="n">
        <v>0</v>
      </c>
      <c r="H12" s="9" t="n">
        <v>512</v>
      </c>
      <c r="I12" s="9" t="n">
        <v>20</v>
      </c>
      <c r="J12" s="9" t="inlineStr">
        <is>
          <t>256-128</t>
        </is>
      </c>
      <c r="K12" s="9" t="n">
        <v>0</v>
      </c>
      <c r="L12" s="9" t="inlineStr">
        <is>
          <t>none</t>
        </is>
      </c>
      <c r="M12" s="9" t="inlineStr">
        <is>
          <t>fp32</t>
        </is>
      </c>
      <c r="N12" s="9" t="inlineStr">
        <is>
          <t>he</t>
        </is>
      </c>
      <c r="O12" s="9" t="n">
        <v>1</v>
      </c>
      <c r="P12" s="19" t="n">
        <v>2.2690618110553</v>
      </c>
      <c r="Q12" s="19" t="n">
        <v>0.31056249583076</v>
      </c>
      <c r="R12" s="9" t="n">
        <v>20</v>
      </c>
      <c r="S12" s="19" t="n">
        <v>0.301863433713913</v>
      </c>
      <c r="T12" s="19" t="n">
        <v>0.31056249583076</v>
      </c>
      <c r="U12" s="19" t="n">
        <v>0.875830984703427</v>
      </c>
      <c r="V12" s="19" t="n">
        <v>0.761520072448173</v>
      </c>
      <c r="W12" s="9" t="n">
        <v>1.3027045522</v>
      </c>
      <c r="X12" s="9" t="n">
        <v>167.359375</v>
      </c>
      <c r="Y12" s="9" t="inlineStr">
        <is>
          <t>N</t>
        </is>
      </c>
      <c r="Z12" s="19" t="n"/>
      <c r="AA12" s="19" t="n"/>
      <c r="AB12" s="9" t="inlineStr">
        <is>
          <t>figures/lr-0.01.png</t>
        </is>
      </c>
      <c r="AC12" s="9" t="inlineStr"/>
      <c r="AD12" s="20">
        <f>IF(P12="","",P12-LN(7))</f>
        <v/>
      </c>
      <c r="AE12" s="20">
        <f>IF(OR(T12="",S12=""),"",T12-S12)</f>
        <v/>
      </c>
      <c r="AF12" s="20">
        <f>IF(OR(V12="",Seeds!$C$8=""),"",V12-Seeds!$C$8)</f>
        <v/>
      </c>
      <c r="AG12" s="20">
        <f>IF(OR(AF12="",Seeds!$C$10=""),"",IF(ABS(AF12)&gt;Seeds!$C$10,"Có","Không"))</f>
        <v/>
      </c>
    </row>
    <row r="13">
      <c r="A13" s="9" t="inlineStr">
        <is>
          <t>lr-0.03</t>
        </is>
      </c>
      <c r="B13" s="9" t="inlineStr">
        <is>
          <t>hparam</t>
        </is>
      </c>
      <c r="C13" s="9" t="inlineStr">
        <is>
          <t>Baseline M-base, tìm lr = 0.03 (seed 1)</t>
        </is>
      </c>
      <c r="D13" s="9" t="inlineStr">
        <is>
          <t>CE</t>
        </is>
      </c>
      <c r="E13" s="9" t="inlineStr">
        <is>
          <t>SGD+momentum</t>
        </is>
      </c>
      <c r="F13" s="9" t="n">
        <v>0.03</v>
      </c>
      <c r="G13" s="9" t="n">
        <v>0</v>
      </c>
      <c r="H13" s="9" t="n">
        <v>512</v>
      </c>
      <c r="I13" s="9" t="n">
        <v>20</v>
      </c>
      <c r="J13" s="9" t="inlineStr">
        <is>
          <t>256-128</t>
        </is>
      </c>
      <c r="K13" s="9" t="n">
        <v>0</v>
      </c>
      <c r="L13" s="9" t="inlineStr">
        <is>
          <t>none</t>
        </is>
      </c>
      <c r="M13" s="9" t="inlineStr">
        <is>
          <t>fp32</t>
        </is>
      </c>
      <c r="N13" s="9" t="inlineStr">
        <is>
          <t>he</t>
        </is>
      </c>
      <c r="O13" s="9" t="n">
        <v>1</v>
      </c>
      <c r="P13" s="19" t="n">
        <v>2.2690618110553</v>
      </c>
      <c r="Q13" s="19" t="n">
        <v>0.267239863765427</v>
      </c>
      <c r="R13" s="9" t="n">
        <v>18</v>
      </c>
      <c r="S13" s="19" t="n">
        <v>0.253464661245346</v>
      </c>
      <c r="T13" s="19" t="n">
        <v>0.268996662068051</v>
      </c>
      <c r="U13" s="19" t="n">
        <v>0.893343516705751</v>
      </c>
      <c r="V13" s="19" t="n">
        <v>0.824033470557508</v>
      </c>
      <c r="W13" s="9" t="n">
        <v>1.3214369706</v>
      </c>
      <c r="X13" s="9" t="n">
        <v>167.359375</v>
      </c>
      <c r="Y13" s="9" t="inlineStr">
        <is>
          <t>N</t>
        </is>
      </c>
      <c r="Z13" s="19" t="n"/>
      <c r="AA13" s="19" t="n"/>
      <c r="AB13" s="9" t="inlineStr">
        <is>
          <t>figures/lr-0.03.png</t>
        </is>
      </c>
      <c r="AC13" s="9" t="inlineStr"/>
      <c r="AD13" s="20">
        <f>IF(P13="","",P13-LN(7))</f>
        <v/>
      </c>
      <c r="AE13" s="20">
        <f>IF(OR(T13="",S13=""),"",T13-S13)</f>
        <v/>
      </c>
      <c r="AF13" s="20">
        <f>IF(OR(V13="",Seeds!$C$8=""),"",V13-Seeds!$C$8)</f>
        <v/>
      </c>
      <c r="AG13" s="20">
        <f>IF(OR(AF13="",Seeds!$C$10=""),"",IF(ABS(AF13)&gt;Seeds!$C$10,"Có","Không"))</f>
        <v/>
      </c>
    </row>
    <row r="14">
      <c r="A14" s="9" t="inlineStr">
        <is>
          <t>lr-0.1</t>
        </is>
      </c>
      <c r="B14" s="9" t="inlineStr">
        <is>
          <t>hparam</t>
        </is>
      </c>
      <c r="C14" s="9" t="inlineStr">
        <is>
          <t>Baseline M-base, tìm lr = 0.1 (seed 1)</t>
        </is>
      </c>
      <c r="D14" s="9" t="inlineStr">
        <is>
          <t>CE</t>
        </is>
      </c>
      <c r="E14" s="9" t="inlineStr">
        <is>
          <t>SGD+momentum</t>
        </is>
      </c>
      <c r="F14" s="9" t="n">
        <v>0.1</v>
      </c>
      <c r="G14" s="9" t="n">
        <v>0</v>
      </c>
      <c r="H14" s="9" t="n">
        <v>512</v>
      </c>
      <c r="I14" s="9" t="n">
        <v>20</v>
      </c>
      <c r="J14" s="9" t="inlineStr">
        <is>
          <t>256-128</t>
        </is>
      </c>
      <c r="K14" s="9" t="n">
        <v>0</v>
      </c>
      <c r="L14" s="9" t="inlineStr">
        <is>
          <t>none</t>
        </is>
      </c>
      <c r="M14" s="9" t="inlineStr">
        <is>
          <t>fp32</t>
        </is>
      </c>
      <c r="N14" s="9" t="inlineStr">
        <is>
          <t>he</t>
        </is>
      </c>
      <c r="O14" s="9" t="n">
        <v>1</v>
      </c>
      <c r="P14" s="19" t="n">
        <v>2.2690618110553</v>
      </c>
      <c r="Q14" s="19" t="n">
        <v>0.233159394865166</v>
      </c>
      <c r="R14" s="9" t="n">
        <v>18</v>
      </c>
      <c r="S14" s="19" t="n">
        <v>0.214379083003998</v>
      </c>
      <c r="T14" s="19" t="n">
        <v>0.236477150598147</v>
      </c>
      <c r="U14" s="19" t="n">
        <v>0.906897441965534</v>
      </c>
      <c r="V14" s="19" t="n">
        <v>0.840989066529527</v>
      </c>
      <c r="W14" s="9" t="n">
        <v>1.3304389474</v>
      </c>
      <c r="X14" s="9" t="n">
        <v>167.359375</v>
      </c>
      <c r="Y14" s="9" t="inlineStr">
        <is>
          <t>N</t>
        </is>
      </c>
      <c r="Z14" s="19" t="n"/>
      <c r="AA14" s="19" t="n"/>
      <c r="AB14" s="9" t="inlineStr">
        <is>
          <t>figures/lr-0.1.png</t>
        </is>
      </c>
      <c r="AC14" s="9" t="inlineStr"/>
      <c r="AD14" s="20">
        <f>IF(P14="","",P14-LN(7))</f>
        <v/>
      </c>
      <c r="AE14" s="20">
        <f>IF(OR(T14="",S14=""),"",T14-S14)</f>
        <v/>
      </c>
      <c r="AF14" s="20">
        <f>IF(OR(V14="",Seeds!$C$8=""),"",V14-Seeds!$C$8)</f>
        <v/>
      </c>
      <c r="AG14" s="20">
        <f>IF(OR(AF14="",Seeds!$C$10=""),"",IF(ABS(AF14)&gt;Seeds!$C$10,"Có","Không"))</f>
        <v/>
      </c>
    </row>
    <row r="15">
      <c r="A15" s="9" t="inlineStr">
        <is>
          <t>lr-0.3</t>
        </is>
      </c>
      <c r="B15" s="9" t="inlineStr">
        <is>
          <t>hparam</t>
        </is>
      </c>
      <c r="C15" s="9" t="inlineStr">
        <is>
          <t>Baseline M-base, tìm lr = 0.3 (seed 1)</t>
        </is>
      </c>
      <c r="D15" s="9" t="inlineStr">
        <is>
          <t>CE</t>
        </is>
      </c>
      <c r="E15" s="9" t="inlineStr">
        <is>
          <t>SGD+momentum</t>
        </is>
      </c>
      <c r="F15" s="9" t="n">
        <v>0.3</v>
      </c>
      <c r="G15" s="9" t="n">
        <v>0</v>
      </c>
      <c r="H15" s="9" t="n">
        <v>512</v>
      </c>
      <c r="I15" s="9" t="n">
        <v>20</v>
      </c>
      <c r="J15" s="9" t="inlineStr">
        <is>
          <t>256-128</t>
        </is>
      </c>
      <c r="K15" s="9" t="n">
        <v>0</v>
      </c>
      <c r="L15" s="9" t="inlineStr">
        <is>
          <t>none</t>
        </is>
      </c>
      <c r="M15" s="9" t="inlineStr">
        <is>
          <t>fp32</t>
        </is>
      </c>
      <c r="N15" s="9" t="inlineStr">
        <is>
          <t>he</t>
        </is>
      </c>
      <c r="O15" s="9" t="n">
        <v>1</v>
      </c>
      <c r="P15" s="19" t="n">
        <v>2.2690618110553</v>
      </c>
      <c r="Q15" s="19" t="n">
        <v>0.22211565281967</v>
      </c>
      <c r="R15" s="9" t="n">
        <v>20</v>
      </c>
      <c r="S15" s="19" t="n">
        <v>0.198570026903153</v>
      </c>
      <c r="T15" s="19" t="n">
        <v>0.22211565281967</v>
      </c>
      <c r="U15" s="19" t="n">
        <v>0.9108668057916141</v>
      </c>
      <c r="V15" s="19" t="n">
        <v>0.859861299164417</v>
      </c>
      <c r="W15" s="9" t="n">
        <v>1.33940321199999</v>
      </c>
      <c r="X15" s="9" t="n">
        <v>167.359375</v>
      </c>
      <c r="Y15" s="9" t="inlineStr">
        <is>
          <t>N</t>
        </is>
      </c>
      <c r="Z15" s="19" t="n"/>
      <c r="AA15" s="19" t="n"/>
      <c r="AB15" s="9" t="inlineStr">
        <is>
          <t>figures/lr-0.3.png</t>
        </is>
      </c>
      <c r="AC15" s="9" t="inlineStr">
        <is>
          <t>trùng cấu hình và kết quả với base-s1 (cùng seed 1); giữ như một điểm của lưới lr</t>
        </is>
      </c>
      <c r="AD15" s="20">
        <f>IF(P15="","",P15-LN(7))</f>
        <v/>
      </c>
      <c r="AE15" s="20">
        <f>IF(OR(T15="",S15=""),"",T15-S15)</f>
        <v/>
      </c>
      <c r="AF15" s="20">
        <f>IF(OR(V15="",Seeds!$C$8=""),"",V15-Seeds!$C$8)</f>
        <v/>
      </c>
      <c r="AG15" s="20">
        <f>IF(OR(AF15="",Seeds!$C$10=""),"",IF(ABS(AF15)&gt;Seeds!$C$10,"Có","Không"))</f>
        <v/>
      </c>
    </row>
    <row r="16">
      <c r="A16" s="9" t="inlineStr">
        <is>
          <t>loss-mse-lr0.3</t>
        </is>
      </c>
      <c r="B16" s="9" t="inlineStr">
        <is>
          <t>loss</t>
        </is>
      </c>
      <c r="C16" s="9" t="inlineStr">
        <is>
          <t>MSE (logit vs one-hot) thay CE, lr 0.3</t>
        </is>
      </c>
      <c r="D16" s="9" t="inlineStr">
        <is>
          <t>MSE</t>
        </is>
      </c>
      <c r="E16" s="9" t="inlineStr">
        <is>
          <t>SGD+momentum</t>
        </is>
      </c>
      <c r="F16" s="9" t="n">
        <v>0.3</v>
      </c>
      <c r="G16" s="9" t="n">
        <v>0</v>
      </c>
      <c r="H16" s="9" t="n">
        <v>512</v>
      </c>
      <c r="I16" s="9" t="n">
        <v>20</v>
      </c>
      <c r="J16" s="9" t="inlineStr">
        <is>
          <t>256-128</t>
        </is>
      </c>
      <c r="K16" s="9" t="n">
        <v>0</v>
      </c>
      <c r="L16" s="9" t="inlineStr">
        <is>
          <t>none</t>
        </is>
      </c>
      <c r="M16" s="9" t="inlineStr">
        <is>
          <t>fp32</t>
        </is>
      </c>
      <c r="N16" s="9" t="inlineStr">
        <is>
          <t>he</t>
        </is>
      </c>
      <c r="O16" s="9" t="n">
        <v>1</v>
      </c>
      <c r="P16" s="19" t="n">
        <v>0.635850353781706</v>
      </c>
      <c r="Q16" s="19" t="n">
        <v>0.0274762867575158</v>
      </c>
      <c r="R16" s="9" t="n">
        <v>20</v>
      </c>
      <c r="S16" s="19" t="n">
        <v>0.0266979696089029</v>
      </c>
      <c r="T16" s="19" t="n">
        <v>0.0274762867575158</v>
      </c>
      <c r="U16" s="19" t="n">
        <v>0.880123061035692</v>
      </c>
      <c r="V16" s="19" t="n">
        <v>0.764918800781986</v>
      </c>
      <c r="W16" s="9" t="n">
        <v>1.35974113464998</v>
      </c>
      <c r="X16" s="9" t="n">
        <v>167.36279296875</v>
      </c>
      <c r="Y16" s="9" t="inlineStr">
        <is>
          <t>N</t>
        </is>
      </c>
      <c r="Z16" s="19" t="n"/>
      <c r="AA16" s="19" t="n"/>
      <c r="AB16" s="9" t="inlineStr">
        <is>
          <t>figures/loss-mse-lr0.3.png</t>
        </is>
      </c>
      <c r="AC16" s="9" t="inlineStr"/>
      <c r="AD16" s="20">
        <f>IF(P16="","",P16-LN(7))</f>
        <v/>
      </c>
      <c r="AE16" s="20">
        <f>IF(OR(T16="",S16=""),"",T16-S16)</f>
        <v/>
      </c>
      <c r="AF16" s="20">
        <f>IF(OR(V16="",Seeds!$C$8=""),"",V16-Seeds!$C$8)</f>
        <v/>
      </c>
      <c r="AG16" s="20">
        <f>IF(OR(AF16="",Seeds!$C$10=""),"",IF(ABS(AF16)&gt;Seeds!$C$10,"Có","Không"))</f>
        <v/>
      </c>
    </row>
    <row r="17">
      <c r="A17" s="9" t="inlineStr">
        <is>
          <t>loss-mse-lr1</t>
        </is>
      </c>
      <c r="B17" s="9" t="inlineStr">
        <is>
          <t>loss</t>
        </is>
      </c>
      <c r="C17" s="9" t="inlineStr">
        <is>
          <t>MSE thay CE, lr 1.0</t>
        </is>
      </c>
      <c r="D17" s="9" t="inlineStr">
        <is>
          <t>MSE</t>
        </is>
      </c>
      <c r="E17" s="9" t="inlineStr">
        <is>
          <t>SGD+momentum</t>
        </is>
      </c>
      <c r="F17" s="9" t="n">
        <v>1</v>
      </c>
      <c r="G17" s="9" t="n">
        <v>0</v>
      </c>
      <c r="H17" s="9" t="n">
        <v>512</v>
      </c>
      <c r="I17" s="9" t="n">
        <v>20</v>
      </c>
      <c r="J17" s="9" t="inlineStr">
        <is>
          <t>256-128</t>
        </is>
      </c>
      <c r="K17" s="9" t="n">
        <v>0</v>
      </c>
      <c r="L17" s="9" t="inlineStr">
        <is>
          <t>none</t>
        </is>
      </c>
      <c r="M17" s="9" t="inlineStr">
        <is>
          <t>fp32</t>
        </is>
      </c>
      <c r="N17" s="9" t="inlineStr">
        <is>
          <t>he</t>
        </is>
      </c>
      <c r="O17" s="9" t="n">
        <v>1</v>
      </c>
      <c r="P17" s="19" t="n">
        <v>0.635850353781706</v>
      </c>
      <c r="Q17" s="19" t="n">
        <v>0.0469178710247367</v>
      </c>
      <c r="R17" s="9" t="n">
        <v>20</v>
      </c>
      <c r="S17" s="19" t="n">
        <v>0.0467328452527523</v>
      </c>
      <c r="T17" s="19" t="n">
        <v>0.0469178710247367</v>
      </c>
      <c r="U17" s="19" t="n">
        <v>0.784051547944321</v>
      </c>
      <c r="V17" s="19" t="n">
        <v>0.583677659542383</v>
      </c>
      <c r="W17" s="9" t="n">
        <v>1.32005787199999</v>
      </c>
      <c r="X17" s="9" t="n">
        <v>167.36279296875</v>
      </c>
      <c r="Y17" s="9" t="inlineStr">
        <is>
          <t>N</t>
        </is>
      </c>
      <c r="Z17" s="19" t="n"/>
      <c r="AA17" s="19" t="n"/>
      <c r="AB17" s="9" t="inlineStr">
        <is>
          <t>figures/loss-mse-lr1.png</t>
        </is>
      </c>
      <c r="AC17" s="9" t="inlineStr">
        <is>
          <t>đổi 2 yếu tố (loss + lr): gradient MSE nhỏ hơn ~3.5 lần nên thử lr lớn hơn</t>
        </is>
      </c>
      <c r="AD17" s="20">
        <f>IF(P17="","",P17-LN(7))</f>
        <v/>
      </c>
      <c r="AE17" s="20">
        <f>IF(OR(T17="",S17=""),"",T17-S17)</f>
        <v/>
      </c>
      <c r="AF17" s="20">
        <f>IF(OR(V17="",Seeds!$C$8=""),"",V17-Seeds!$C$8)</f>
        <v/>
      </c>
      <c r="AG17" s="20">
        <f>IF(OR(AF17="",Seeds!$C$10=""),"",IF(ABS(AF17)&gt;Seeds!$C$10,"Có","Không"))</f>
        <v/>
      </c>
    </row>
    <row r="18">
      <c r="A18" s="9" t="inlineStr">
        <is>
          <t>opt-adam-lr0.0003</t>
        </is>
      </c>
      <c r="B18" s="9" t="inlineStr">
        <is>
          <t>optimizer</t>
        </is>
      </c>
      <c r="C18" s="9" t="inlineStr">
        <is>
          <t>adam, lr=0.0003</t>
        </is>
      </c>
      <c r="D18" s="9" t="inlineStr">
        <is>
          <t>CE</t>
        </is>
      </c>
      <c r="E18" s="9" t="inlineStr">
        <is>
          <t>Adam</t>
        </is>
      </c>
      <c r="F18" s="9" t="n">
        <v>0.0003</v>
      </c>
      <c r="G18" s="9" t="n">
        <v>0</v>
      </c>
      <c r="H18" s="9" t="n">
        <v>512</v>
      </c>
      <c r="I18" s="9" t="n">
        <v>20</v>
      </c>
      <c r="J18" s="9" t="inlineStr">
        <is>
          <t>256-128</t>
        </is>
      </c>
      <c r="K18" s="9" t="n">
        <v>0</v>
      </c>
      <c r="L18" s="9" t="inlineStr">
        <is>
          <t>none</t>
        </is>
      </c>
      <c r="M18" s="9" t="inlineStr">
        <is>
          <t>fp32</t>
        </is>
      </c>
      <c r="N18" s="9" t="inlineStr">
        <is>
          <t>he</t>
        </is>
      </c>
      <c r="O18" s="9" t="n">
        <v>1</v>
      </c>
      <c r="P18" s="19" t="n">
        <v>2.2690618110553</v>
      </c>
      <c r="Q18" s="19" t="n">
        <v>0.313853925526038</v>
      </c>
      <c r="R18" s="9" t="n">
        <v>20</v>
      </c>
      <c r="S18" s="19" t="n">
        <v>0.304073860034943</v>
      </c>
      <c r="T18" s="19" t="n">
        <v>0.313853925526038</v>
      </c>
      <c r="U18" s="19" t="n">
        <v>0.872786730061746</v>
      </c>
      <c r="V18" s="19" t="n">
        <v>0.787444646742864</v>
      </c>
      <c r="W18" s="9" t="n">
        <v>1.38829977914999</v>
      </c>
      <c r="X18" s="9" t="n">
        <v>167.54248046875</v>
      </c>
      <c r="Y18" s="9" t="inlineStr">
        <is>
          <t>N</t>
        </is>
      </c>
      <c r="Z18" s="19" t="n"/>
      <c r="AA18" s="19" t="n"/>
      <c r="AB18" s="9" t="inlineStr">
        <is>
          <t>figures/opt-adam-lr0.0003.png</t>
        </is>
      </c>
      <c r="AC18" s="9" t="inlineStr">
        <is>
          <t>betas=(0.9,0.999), eps=1e-8</t>
        </is>
      </c>
      <c r="AD18" s="20">
        <f>IF(P18="","",P18-LN(7))</f>
        <v/>
      </c>
      <c r="AE18" s="20">
        <f>IF(OR(T18="",S18=""),"",T18-S18)</f>
        <v/>
      </c>
      <c r="AF18" s="20">
        <f>IF(OR(V18="",Seeds!$C$8=""),"",V18-Seeds!$C$8)</f>
        <v/>
      </c>
      <c r="AG18" s="20">
        <f>IF(OR(AF18="",Seeds!$C$10=""),"",IF(ABS(AF18)&gt;Seeds!$C$10,"Có","Không"))</f>
        <v/>
      </c>
    </row>
    <row r="19">
      <c r="A19" s="9" t="inlineStr">
        <is>
          <t>opt-adam-lr0.001</t>
        </is>
      </c>
      <c r="B19" s="9" t="inlineStr">
        <is>
          <t>optimizer</t>
        </is>
      </c>
      <c r="C19" s="9" t="inlineStr">
        <is>
          <t>adam, lr=0.001</t>
        </is>
      </c>
      <c r="D19" s="9" t="inlineStr">
        <is>
          <t>CE</t>
        </is>
      </c>
      <c r="E19" s="9" t="inlineStr">
        <is>
          <t>Adam</t>
        </is>
      </c>
      <c r="F19" s="9" t="n">
        <v>0.001</v>
      </c>
      <c r="G19" s="9" t="n">
        <v>0</v>
      </c>
      <c r="H19" s="9" t="n">
        <v>512</v>
      </c>
      <c r="I19" s="9" t="n">
        <v>20</v>
      </c>
      <c r="J19" s="9" t="inlineStr">
        <is>
          <t>256-128</t>
        </is>
      </c>
      <c r="K19" s="9" t="n">
        <v>0</v>
      </c>
      <c r="L19" s="9" t="inlineStr">
        <is>
          <t>none</t>
        </is>
      </c>
      <c r="M19" s="9" t="inlineStr">
        <is>
          <t>fp32</t>
        </is>
      </c>
      <c r="N19" s="9" t="inlineStr">
        <is>
          <t>he</t>
        </is>
      </c>
      <c r="O19" s="9" t="n">
        <v>1</v>
      </c>
      <c r="P19" s="19" t="n">
        <v>2.2690618110553</v>
      </c>
      <c r="Q19" s="19" t="n">
        <v>0.247201324229253</v>
      </c>
      <c r="R19" s="9" t="n">
        <v>20</v>
      </c>
      <c r="S19" s="19" t="n">
        <v>0.228015762400627</v>
      </c>
      <c r="T19" s="19" t="n">
        <v>0.247201324229253</v>
      </c>
      <c r="U19" s="19" t="n">
        <v>0.901357543942686</v>
      </c>
      <c r="V19" s="19" t="n">
        <v>0.847646541101462</v>
      </c>
      <c r="W19" s="9" t="n">
        <v>1.4140353618</v>
      </c>
      <c r="X19" s="9" t="n">
        <v>167.54248046875</v>
      </c>
      <c r="Y19" s="9" t="inlineStr">
        <is>
          <t>N</t>
        </is>
      </c>
      <c r="Z19" s="19" t="n"/>
      <c r="AA19" s="19" t="n"/>
      <c r="AB19" s="9" t="inlineStr">
        <is>
          <t>figures/opt-adam-lr0.001.png</t>
        </is>
      </c>
      <c r="AC19" s="9" t="inlineStr">
        <is>
          <t>betas=(0.9,0.999), eps=1e-8</t>
        </is>
      </c>
      <c r="AD19" s="20">
        <f>IF(P19="","",P19-LN(7))</f>
        <v/>
      </c>
      <c r="AE19" s="20">
        <f>IF(OR(T19="",S19=""),"",T19-S19)</f>
        <v/>
      </c>
      <c r="AF19" s="20">
        <f>IF(OR(V19="",Seeds!$C$8=""),"",V19-Seeds!$C$8)</f>
        <v/>
      </c>
      <c r="AG19" s="20">
        <f>IF(OR(AF19="",Seeds!$C$10=""),"",IF(ABS(AF19)&gt;Seeds!$C$10,"Có","Không"))</f>
        <v/>
      </c>
    </row>
    <row r="20">
      <c r="A20" s="9" t="inlineStr">
        <is>
          <t>opt-adam-lr0.003</t>
        </is>
      </c>
      <c r="B20" s="9" t="inlineStr">
        <is>
          <t>optimizer</t>
        </is>
      </c>
      <c r="C20" s="9" t="inlineStr">
        <is>
          <t>adam, lr=0.003</t>
        </is>
      </c>
      <c r="D20" s="9" t="inlineStr">
        <is>
          <t>CE</t>
        </is>
      </c>
      <c r="E20" s="9" t="inlineStr">
        <is>
          <t>Adam</t>
        </is>
      </c>
      <c r="F20" s="9" t="n">
        <v>0.003</v>
      </c>
      <c r="G20" s="9" t="n">
        <v>0</v>
      </c>
      <c r="H20" s="9" t="n">
        <v>512</v>
      </c>
      <c r="I20" s="9" t="n">
        <v>20</v>
      </c>
      <c r="J20" s="9" t="inlineStr">
        <is>
          <t>256-128</t>
        </is>
      </c>
      <c r="K20" s="9" t="n">
        <v>0</v>
      </c>
      <c r="L20" s="9" t="inlineStr">
        <is>
          <t>none</t>
        </is>
      </c>
      <c r="M20" s="9" t="inlineStr">
        <is>
          <t>fp32</t>
        </is>
      </c>
      <c r="N20" s="9" t="inlineStr">
        <is>
          <t>he</t>
        </is>
      </c>
      <c r="O20" s="9" t="n">
        <v>1</v>
      </c>
      <c r="P20" s="19" t="n">
        <v>2.2690618110553</v>
      </c>
      <c r="Q20" s="19" t="n">
        <v>0.214233405218857</v>
      </c>
      <c r="R20" s="9" t="n">
        <v>18</v>
      </c>
      <c r="S20" s="19" t="n">
        <v>0.186908280057907</v>
      </c>
      <c r="T20" s="19" t="n">
        <v>0.215287349570118</v>
      </c>
      <c r="U20" s="19" t="n">
        <v>0.9138034895979</v>
      </c>
      <c r="V20" s="19" t="n">
        <v>0.866003639612105</v>
      </c>
      <c r="W20" s="9" t="n">
        <v>1.39839708619999</v>
      </c>
      <c r="X20" s="9" t="n">
        <v>167.54248046875</v>
      </c>
      <c r="Y20" s="9" t="inlineStr">
        <is>
          <t>N</t>
        </is>
      </c>
      <c r="Z20" s="19" t="n"/>
      <c r="AA20" s="19" t="n"/>
      <c r="AB20" s="9" t="inlineStr">
        <is>
          <t>figures/opt-adam-lr0.003.png</t>
        </is>
      </c>
      <c r="AC20" s="9" t="inlineStr">
        <is>
          <t>betas=(0.9,0.999), eps=1e-8</t>
        </is>
      </c>
      <c r="AD20" s="20">
        <f>IF(P20="","",P20-LN(7))</f>
        <v/>
      </c>
      <c r="AE20" s="20">
        <f>IF(OR(T20="",S20=""),"",T20-S20)</f>
        <v/>
      </c>
      <c r="AF20" s="20">
        <f>IF(OR(V20="",Seeds!$C$8=""),"",V20-Seeds!$C$8)</f>
        <v/>
      </c>
      <c r="AG20" s="20">
        <f>IF(OR(AF20="",Seeds!$C$10=""),"",IF(ABS(AF20)&gt;Seeds!$C$10,"Có","Không"))</f>
        <v/>
      </c>
    </row>
    <row r="21">
      <c r="A21" s="9" t="inlineStr">
        <is>
          <t>opt-adamw-lr0.001</t>
        </is>
      </c>
      <c r="B21" s="9" t="inlineStr">
        <is>
          <t>optimizer</t>
        </is>
      </c>
      <c r="C21" s="9" t="inlineStr">
        <is>
          <t>adamw, lr=0.001</t>
        </is>
      </c>
      <c r="D21" s="9" t="inlineStr">
        <is>
          <t>CE</t>
        </is>
      </c>
      <c r="E21" s="9" t="inlineStr">
        <is>
          <t>AdamW</t>
        </is>
      </c>
      <c r="F21" s="9" t="n">
        <v>0.001</v>
      </c>
      <c r="G21" s="9" t="n">
        <v>0.01</v>
      </c>
      <c r="H21" s="9" t="n">
        <v>512</v>
      </c>
      <c r="I21" s="9" t="n">
        <v>20</v>
      </c>
      <c r="J21" s="9" t="inlineStr">
        <is>
          <t>256-128</t>
        </is>
      </c>
      <c r="K21" s="9" t="n">
        <v>0</v>
      </c>
      <c r="L21" s="9" t="inlineStr">
        <is>
          <t>none</t>
        </is>
      </c>
      <c r="M21" s="9" t="inlineStr">
        <is>
          <t>fp32</t>
        </is>
      </c>
      <c r="N21" s="9" t="inlineStr">
        <is>
          <t>he</t>
        </is>
      </c>
      <c r="O21" s="9" t="n">
        <v>1</v>
      </c>
      <c r="P21" s="19" t="n">
        <v>2.2690618110553</v>
      </c>
      <c r="Q21" s="19" t="n">
        <v>0.250450165655667</v>
      </c>
      <c r="R21" s="9" t="n">
        <v>18</v>
      </c>
      <c r="S21" s="19" t="n">
        <v>0.237041060409546</v>
      </c>
      <c r="T21" s="19" t="n">
        <v>0.255118940464691</v>
      </c>
      <c r="U21" s="19" t="n">
        <v>0.899345969320798</v>
      </c>
      <c r="V21" s="19" t="n">
        <v>0.840112807450717</v>
      </c>
      <c r="W21" s="9" t="n">
        <v>1.41280751954999</v>
      </c>
      <c r="X21" s="9" t="n">
        <v>167.54248046875</v>
      </c>
      <c r="Y21" s="9" t="inlineStr">
        <is>
          <t>N</t>
        </is>
      </c>
      <c r="Z21" s="19" t="n"/>
      <c r="AA21" s="19" t="n"/>
      <c r="AB21" s="9" t="inlineStr">
        <is>
          <t>figures/opt-adamw-lr0.001.png</t>
        </is>
      </c>
      <c r="AC21" s="9" t="inlineStr">
        <is>
          <t>betas=(0.9,0.999), eps=1e-8; đổi 2 yếu tố (optimizer + weight_decay=0.01, wd tách riêng kiểu AdamW)</t>
        </is>
      </c>
      <c r="AD21" s="20">
        <f>IF(P21="","",P21-LN(7))</f>
        <v/>
      </c>
      <c r="AE21" s="20">
        <f>IF(OR(T21="",S21=""),"",T21-S21)</f>
        <v/>
      </c>
      <c r="AF21" s="20">
        <f>IF(OR(V21="",Seeds!$C$8=""),"",V21-Seeds!$C$8)</f>
        <v/>
      </c>
      <c r="AG21" s="20">
        <f>IF(OR(AF21="",Seeds!$C$10=""),"",IF(ABS(AF21)&gt;Seeds!$C$10,"Có","Không"))</f>
        <v/>
      </c>
    </row>
    <row r="22">
      <c r="A22" s="9" t="inlineStr">
        <is>
          <t>opt-adamw-lr0.003</t>
        </is>
      </c>
      <c r="B22" s="9" t="inlineStr">
        <is>
          <t>optimizer</t>
        </is>
      </c>
      <c r="C22" s="9" t="inlineStr">
        <is>
          <t>adamw, lr=0.003</t>
        </is>
      </c>
      <c r="D22" s="9" t="inlineStr">
        <is>
          <t>CE</t>
        </is>
      </c>
      <c r="E22" s="9" t="inlineStr">
        <is>
          <t>AdamW</t>
        </is>
      </c>
      <c r="F22" s="9" t="n">
        <v>0.003</v>
      </c>
      <c r="G22" s="9" t="n">
        <v>0.01</v>
      </c>
      <c r="H22" s="9" t="n">
        <v>512</v>
      </c>
      <c r="I22" s="9" t="n">
        <v>20</v>
      </c>
      <c r="J22" s="9" t="inlineStr">
        <is>
          <t>256-128</t>
        </is>
      </c>
      <c r="K22" s="9" t="n">
        <v>0</v>
      </c>
      <c r="L22" s="9" t="inlineStr">
        <is>
          <t>none</t>
        </is>
      </c>
      <c r="M22" s="9" t="inlineStr">
        <is>
          <t>fp32</t>
        </is>
      </c>
      <c r="N22" s="9" t="inlineStr">
        <is>
          <t>he</t>
        </is>
      </c>
      <c r="O22" s="9" t="n">
        <v>1</v>
      </c>
      <c r="P22" s="19" t="n">
        <v>2.2690618110553</v>
      </c>
      <c r="Q22" s="19" t="n">
        <v>0.223108103348662</v>
      </c>
      <c r="R22" s="9" t="n">
        <v>19</v>
      </c>
      <c r="S22" s="19" t="n">
        <v>0.202268750834465</v>
      </c>
      <c r="T22" s="19" t="n">
        <v>0.223433608370156</v>
      </c>
      <c r="U22" s="19" t="n">
        <v>0.909479142015017</v>
      </c>
      <c r="V22" s="19" t="n">
        <v>0.861473874875569</v>
      </c>
      <c r="W22" s="9" t="n">
        <v>1.42572500779999</v>
      </c>
      <c r="X22" s="9" t="n">
        <v>167.54248046875</v>
      </c>
      <c r="Y22" s="9" t="inlineStr">
        <is>
          <t>N</t>
        </is>
      </c>
      <c r="Z22" s="19" t="n"/>
      <c r="AA22" s="19" t="n"/>
      <c r="AB22" s="9" t="inlineStr">
        <is>
          <t>figures/opt-adamw-lr0.003.png</t>
        </is>
      </c>
      <c r="AC22" s="9" t="inlineStr">
        <is>
          <t>betas=(0.9,0.999), eps=1e-8; đổi 2 yếu tố (optimizer + weight_decay=0.01, wd tách riêng kiểu AdamW)</t>
        </is>
      </c>
      <c r="AD22" s="20">
        <f>IF(P22="","",P22-LN(7))</f>
        <v/>
      </c>
      <c r="AE22" s="20">
        <f>IF(OR(T22="",S22=""),"",T22-S22)</f>
        <v/>
      </c>
      <c r="AF22" s="20">
        <f>IF(OR(V22="",Seeds!$C$8=""),"",V22-Seeds!$C$8)</f>
        <v/>
      </c>
      <c r="AG22" s="20">
        <f>IF(OR(AF22="",Seeds!$C$10=""),"",IF(ABS(AF22)&gt;Seeds!$C$10,"Có","Không"))</f>
        <v/>
      </c>
    </row>
    <row r="23">
      <c r="A23" s="9" t="inlineStr">
        <is>
          <t>opt-sgd-lr0.3</t>
        </is>
      </c>
      <c r="B23" s="9" t="inlineStr">
        <is>
          <t>optimizer</t>
        </is>
      </c>
      <c r="C23" s="9" t="inlineStr">
        <is>
          <t>sgd, lr=0.3</t>
        </is>
      </c>
      <c r="D23" s="9" t="inlineStr">
        <is>
          <t>CE</t>
        </is>
      </c>
      <c r="E23" s="9" t="inlineStr">
        <is>
          <t>SGD</t>
        </is>
      </c>
      <c r="F23" s="9" t="n">
        <v>0.3</v>
      </c>
      <c r="G23" s="9" t="n">
        <v>0</v>
      </c>
      <c r="H23" s="9" t="n">
        <v>512</v>
      </c>
      <c r="I23" s="9" t="n">
        <v>20</v>
      </c>
      <c r="J23" s="9" t="inlineStr">
        <is>
          <t>256-128</t>
        </is>
      </c>
      <c r="K23" s="9" t="n">
        <v>0</v>
      </c>
      <c r="L23" s="9" t="inlineStr">
        <is>
          <t>none</t>
        </is>
      </c>
      <c r="M23" s="9" t="inlineStr">
        <is>
          <t>fp32</t>
        </is>
      </c>
      <c r="N23" s="9" t="inlineStr">
        <is>
          <t>he</t>
        </is>
      </c>
      <c r="O23" s="9" t="n">
        <v>1</v>
      </c>
      <c r="P23" s="19" t="n">
        <v>2.2690618110553</v>
      </c>
      <c r="Q23" s="19" t="n">
        <v>0.285038013596848</v>
      </c>
      <c r="R23" s="9" t="n">
        <v>18</v>
      </c>
      <c r="S23" s="19" t="n">
        <v>0.351991192808151</v>
      </c>
      <c r="T23" s="19" t="n">
        <v>0.363506048038082</v>
      </c>
      <c r="U23" s="19" t="n">
        <v>0.883791226522665</v>
      </c>
      <c r="V23" s="19" t="n">
        <v>0.808989850982212</v>
      </c>
      <c r="W23" s="9" t="n">
        <v>1.22298474230001</v>
      </c>
      <c r="X23" s="9" t="n">
        <v>167.17626953125</v>
      </c>
      <c r="Y23" s="9" t="inlineStr">
        <is>
          <t>N</t>
        </is>
      </c>
      <c r="Z23" s="19" t="n"/>
      <c r="AA23" s="19" t="n"/>
      <c r="AB23" s="9" t="inlineStr">
        <is>
          <t>figures/opt-sgd-lr0.3.png</t>
        </is>
      </c>
      <c r="AC23" s="9" t="inlineStr">
        <is>
          <t>momentum=0</t>
        </is>
      </c>
      <c r="AD23" s="20">
        <f>IF(P23="","",P23-LN(7))</f>
        <v/>
      </c>
      <c r="AE23" s="20">
        <f>IF(OR(T23="",S23=""),"",T23-S23)</f>
        <v/>
      </c>
      <c r="AF23" s="20">
        <f>IF(OR(V23="",Seeds!$C$8=""),"",V23-Seeds!$C$8)</f>
        <v/>
      </c>
      <c r="AG23" s="20">
        <f>IF(OR(AF23="",Seeds!$C$10=""),"",IF(ABS(AF23)&gt;Seeds!$C$10,"Có","Không"))</f>
        <v/>
      </c>
    </row>
    <row r="24">
      <c r="A24" s="9" t="inlineStr">
        <is>
          <t>opt-sgd-lr1</t>
        </is>
      </c>
      <c r="B24" s="9" t="inlineStr">
        <is>
          <t>optimizer</t>
        </is>
      </c>
      <c r="C24" s="9" t="inlineStr">
        <is>
          <t>sgd, lr=1</t>
        </is>
      </c>
      <c r="D24" s="9" t="inlineStr">
        <is>
          <t>CE</t>
        </is>
      </c>
      <c r="E24" s="9" t="inlineStr">
        <is>
          <t>SGD</t>
        </is>
      </c>
      <c r="F24" s="9" t="n">
        <v>1</v>
      </c>
      <c r="G24" s="9" t="n">
        <v>0</v>
      </c>
      <c r="H24" s="9" t="n">
        <v>512</v>
      </c>
      <c r="I24" s="9" t="n">
        <v>20</v>
      </c>
      <c r="J24" s="9" t="inlineStr">
        <is>
          <t>256-128</t>
        </is>
      </c>
      <c r="K24" s="9" t="n">
        <v>0</v>
      </c>
      <c r="L24" s="9" t="inlineStr">
        <is>
          <t>none</t>
        </is>
      </c>
      <c r="M24" s="9" t="inlineStr">
        <is>
          <t>fp32</t>
        </is>
      </c>
      <c r="N24" s="9" t="inlineStr">
        <is>
          <t>he</t>
        </is>
      </c>
      <c r="O24" s="9" t="n">
        <v>1</v>
      </c>
      <c r="P24" s="19" t="n">
        <v>2.2690618110553</v>
      </c>
      <c r="Q24" s="19" t="n">
        <v>0.26037379410293</v>
      </c>
      <c r="R24" s="9" t="n">
        <v>18</v>
      </c>
      <c r="S24" s="19" t="n">
        <v>0.298798879013062</v>
      </c>
      <c r="T24" s="19" t="n">
        <v>0.322826224184906</v>
      </c>
      <c r="U24" s="19" t="n">
        <v>0.894225597555991</v>
      </c>
      <c r="V24" s="19" t="n">
        <v>0.835891230533007</v>
      </c>
      <c r="W24" s="9" t="n">
        <v>1.25114474155001</v>
      </c>
      <c r="X24" s="9" t="n">
        <v>167.17626953125</v>
      </c>
      <c r="Y24" s="9" t="inlineStr">
        <is>
          <t>N</t>
        </is>
      </c>
      <c r="Z24" s="19" t="n"/>
      <c r="AA24" s="19" t="n"/>
      <c r="AB24" s="9" t="inlineStr">
        <is>
          <t>figures/opt-sgd-lr1.png</t>
        </is>
      </c>
      <c r="AC24" s="9" t="inlineStr">
        <is>
          <t>momentum=0</t>
        </is>
      </c>
      <c r="AD24" s="20">
        <f>IF(P24="","",P24-LN(7))</f>
        <v/>
      </c>
      <c r="AE24" s="20">
        <f>IF(OR(T24="",S24=""),"",T24-S24)</f>
        <v/>
      </c>
      <c r="AF24" s="20">
        <f>IF(OR(V24="",Seeds!$C$8=""),"",V24-Seeds!$C$8)</f>
        <v/>
      </c>
      <c r="AG24" s="20">
        <f>IF(OR(AF24="",Seeds!$C$10=""),"",IF(ABS(AF24)&gt;Seeds!$C$10,"Có","Không"))</f>
        <v/>
      </c>
    </row>
    <row r="25">
      <c r="A25" s="9" t="inlineStr">
        <is>
          <t>opt-sgd-lr3</t>
        </is>
      </c>
      <c r="B25" s="9" t="inlineStr">
        <is>
          <t>optimizer</t>
        </is>
      </c>
      <c r="C25" s="9" t="inlineStr">
        <is>
          <t>sgd, lr=3</t>
        </is>
      </c>
      <c r="D25" s="9" t="inlineStr">
        <is>
          <t>CE</t>
        </is>
      </c>
      <c r="E25" s="9" t="inlineStr">
        <is>
          <t>SGD</t>
        </is>
      </c>
      <c r="F25" s="9" t="n">
        <v>3</v>
      </c>
      <c r="G25" s="9" t="n">
        <v>0</v>
      </c>
      <c r="H25" s="9" t="n">
        <v>512</v>
      </c>
      <c r="I25" s="9" t="n">
        <v>20</v>
      </c>
      <c r="J25" s="9" t="inlineStr">
        <is>
          <t>256-128</t>
        </is>
      </c>
      <c r="K25" s="9" t="n">
        <v>0</v>
      </c>
      <c r="L25" s="9" t="inlineStr">
        <is>
          <t>none</t>
        </is>
      </c>
      <c r="M25" s="9" t="inlineStr">
        <is>
          <t>fp32</t>
        </is>
      </c>
      <c r="N25" s="9" t="inlineStr">
        <is>
          <t>he</t>
        </is>
      </c>
      <c r="O25" s="9" t="n">
        <v>1</v>
      </c>
      <c r="P25" s="19" t="n">
        <v>2.2690618110553</v>
      </c>
      <c r="Q25" s="19" t="n">
        <v>0.329640007288207</v>
      </c>
      <c r="R25" s="9" t="n">
        <v>18</v>
      </c>
      <c r="S25" s="19" t="n">
        <v>0.3546762733078</v>
      </c>
      <c r="T25" s="19" t="n">
        <v>0.36945244131522</v>
      </c>
      <c r="U25" s="19" t="n">
        <v>0.873109442567931</v>
      </c>
      <c r="V25" s="19" t="n">
        <v>0.672512153056939</v>
      </c>
      <c r="W25" s="9" t="n">
        <v>1.22090877869999</v>
      </c>
      <c r="X25" s="9" t="n">
        <v>167.17626953125</v>
      </c>
      <c r="Y25" s="9" t="inlineStr">
        <is>
          <t>N</t>
        </is>
      </c>
      <c r="Z25" s="19" t="n"/>
      <c r="AA25" s="19" t="n"/>
      <c r="AB25" s="9" t="inlineStr">
        <is>
          <t>figures/opt-sgd-lr3.png</t>
        </is>
      </c>
      <c r="AC25" s="9" t="inlineStr">
        <is>
          <t>momentum=0</t>
        </is>
      </c>
      <c r="AD25" s="20">
        <f>IF(P25="","",P25-LN(7))</f>
        <v/>
      </c>
      <c r="AE25" s="20">
        <f>IF(OR(T25="",S25=""),"",T25-S25)</f>
        <v/>
      </c>
      <c r="AF25" s="20">
        <f>IF(OR(V25="",Seeds!$C$8=""),"",V25-Seeds!$C$8)</f>
        <v/>
      </c>
      <c r="AG25" s="20">
        <f>IF(OR(AF25="",Seeds!$C$10=""),"",IF(ABS(AF25)&gt;Seeds!$C$10,"Có","Không"))</f>
        <v/>
      </c>
    </row>
    <row r="26">
      <c r="A26" s="9" t="inlineStr">
        <is>
          <t>drop-0.1</t>
        </is>
      </c>
      <c r="B26" s="9" t="inlineStr">
        <is>
          <t>dropout</t>
        </is>
      </c>
      <c r="C26" s="9" t="inlineStr">
        <is>
          <t>dropout q=0.1 sau ReLU của lớp ẩn</t>
        </is>
      </c>
      <c r="D26" s="9" t="inlineStr">
        <is>
          <t>CE</t>
        </is>
      </c>
      <c r="E26" s="9" t="inlineStr">
        <is>
          <t>SGD+momentum</t>
        </is>
      </c>
      <c r="F26" s="9" t="n">
        <v>0.3</v>
      </c>
      <c r="G26" s="9" t="n">
        <v>0</v>
      </c>
      <c r="H26" s="9" t="n">
        <v>512</v>
      </c>
      <c r="I26" s="9" t="n">
        <v>20</v>
      </c>
      <c r="J26" s="9" t="inlineStr">
        <is>
          <t>256-128</t>
        </is>
      </c>
      <c r="K26" s="9" t="n">
        <v>0.1</v>
      </c>
      <c r="L26" s="9" t="inlineStr">
        <is>
          <t>none</t>
        </is>
      </c>
      <c r="M26" s="9" t="inlineStr">
        <is>
          <t>fp32</t>
        </is>
      </c>
      <c r="N26" s="9" t="inlineStr">
        <is>
          <t>he</t>
        </is>
      </c>
      <c r="O26" s="9" t="n">
        <v>1</v>
      </c>
      <c r="P26" s="19" t="n">
        <v>2.2690618110553</v>
      </c>
      <c r="Q26" s="19" t="n">
        <v>0.239843883589627</v>
      </c>
      <c r="R26" s="9" t="n">
        <v>20</v>
      </c>
      <c r="S26" s="19" t="n">
        <v>0.22705569006443</v>
      </c>
      <c r="T26" s="19" t="n">
        <v>0.239843883589627</v>
      </c>
      <c r="U26" s="19" t="n">
        <v>0.902411738129558</v>
      </c>
      <c r="V26" s="19" t="n">
        <v>0.833882179155907</v>
      </c>
      <c r="W26" s="9" t="n">
        <v>1.36950683384999</v>
      </c>
      <c r="X26" s="9" t="n">
        <v>167.359375</v>
      </c>
      <c r="Y26" s="9" t="inlineStr">
        <is>
          <t>N</t>
        </is>
      </c>
      <c r="Z26" s="19" t="n"/>
      <c r="AA26" s="19" t="n"/>
      <c r="AB26" s="9" t="inlineStr">
        <is>
          <t>figures/drop-0.1.png</t>
        </is>
      </c>
      <c r="AC26" s="9" t="inlineStr"/>
      <c r="AD26" s="20">
        <f>IF(P26="","",P26-LN(7))</f>
        <v/>
      </c>
      <c r="AE26" s="20">
        <f>IF(OR(T26="",S26=""),"",T26-S26)</f>
        <v/>
      </c>
      <c r="AF26" s="20">
        <f>IF(OR(V26="",Seeds!$C$8=""),"",V26-Seeds!$C$8)</f>
        <v/>
      </c>
      <c r="AG26" s="20">
        <f>IF(OR(AF26="",Seeds!$C$10=""),"",IF(ABS(AF26)&gt;Seeds!$C$10,"Có","Không"))</f>
        <v/>
      </c>
    </row>
    <row r="27">
      <c r="A27" s="9" t="inlineStr">
        <is>
          <t>drop-0.3</t>
        </is>
      </c>
      <c r="B27" s="9" t="inlineStr">
        <is>
          <t>dropout</t>
        </is>
      </c>
      <c r="C27" s="9" t="inlineStr">
        <is>
          <t>dropout q=0.3 sau ReLU của lớp ẩn</t>
        </is>
      </c>
      <c r="D27" s="9" t="inlineStr">
        <is>
          <t>CE</t>
        </is>
      </c>
      <c r="E27" s="9" t="inlineStr">
        <is>
          <t>SGD+momentum</t>
        </is>
      </c>
      <c r="F27" s="9" t="n">
        <v>0.3</v>
      </c>
      <c r="G27" s="9" t="n">
        <v>0</v>
      </c>
      <c r="H27" s="9" t="n">
        <v>512</v>
      </c>
      <c r="I27" s="9" t="n">
        <v>20</v>
      </c>
      <c r="J27" s="9" t="inlineStr">
        <is>
          <t>256-128</t>
        </is>
      </c>
      <c r="K27" s="9" t="n">
        <v>0.3</v>
      </c>
      <c r="L27" s="9" t="inlineStr">
        <is>
          <t>none</t>
        </is>
      </c>
      <c r="M27" s="9" t="inlineStr">
        <is>
          <t>fp32</t>
        </is>
      </c>
      <c r="N27" s="9" t="inlineStr">
        <is>
          <t>he</t>
        </is>
      </c>
      <c r="O27" s="9" t="n">
        <v>1</v>
      </c>
      <c r="P27" s="19" t="n">
        <v>2.2690618110553</v>
      </c>
      <c r="Q27" s="19" t="n">
        <v>0.316537503906383</v>
      </c>
      <c r="R27" s="9" t="n">
        <v>20</v>
      </c>
      <c r="S27" s="19" t="n">
        <v>0.311612485027313</v>
      </c>
      <c r="T27" s="19" t="n">
        <v>0.316537503906383</v>
      </c>
      <c r="U27" s="19" t="n">
        <v>0.87048471418429</v>
      </c>
      <c r="V27" s="19" t="n">
        <v>0.781961031667441</v>
      </c>
      <c r="W27" s="9" t="n">
        <v>1.38922747095002</v>
      </c>
      <c r="X27" s="9" t="n">
        <v>167.359375</v>
      </c>
      <c r="Y27" s="9" t="inlineStr">
        <is>
          <t>N</t>
        </is>
      </c>
      <c r="Z27" s="19" t="n"/>
      <c r="AA27" s="19" t="n"/>
      <c r="AB27" s="9" t="inlineStr">
        <is>
          <t>figures/drop-0.3.png</t>
        </is>
      </c>
      <c r="AC27" s="9" t="inlineStr"/>
      <c r="AD27" s="20">
        <f>IF(P27="","",P27-LN(7))</f>
        <v/>
      </c>
      <c r="AE27" s="20">
        <f>IF(OR(T27="",S27=""),"",T27-S27)</f>
        <v/>
      </c>
      <c r="AF27" s="20">
        <f>IF(OR(V27="",Seeds!$C$8=""),"",V27-Seeds!$C$8)</f>
        <v/>
      </c>
      <c r="AG27" s="20">
        <f>IF(OR(AF27="",Seeds!$C$10=""),"",IF(ABS(AF27)&gt;Seeds!$C$10,"Có","Không"))</f>
        <v/>
      </c>
    </row>
    <row r="28">
      <c r="A28" s="9" t="inlineStr">
        <is>
          <t>clip-0.35</t>
        </is>
      </c>
      <c r="B28" s="9" t="inlineStr">
        <is>
          <t>clipping</t>
        </is>
      </c>
      <c r="C28" s="9" t="inlineStr">
        <is>
          <t>clip_norm=0.35, lr 0.3</t>
        </is>
      </c>
      <c r="D28" s="9" t="inlineStr">
        <is>
          <t>CE</t>
        </is>
      </c>
      <c r="E28" s="9" t="inlineStr">
        <is>
          <t>SGD+momentum</t>
        </is>
      </c>
      <c r="F28" s="9" t="n">
        <v>0.3</v>
      </c>
      <c r="G28" s="9" t="n">
        <v>0</v>
      </c>
      <c r="H28" s="9" t="n">
        <v>512</v>
      </c>
      <c r="I28" s="9" t="n">
        <v>20</v>
      </c>
      <c r="J28" s="9" t="inlineStr">
        <is>
          <t>256-128</t>
        </is>
      </c>
      <c r="K28" s="9" t="n">
        <v>0</v>
      </c>
      <c r="L28" s="9" t="n">
        <v>0.35</v>
      </c>
      <c r="M28" s="9" t="inlineStr">
        <is>
          <t>fp32</t>
        </is>
      </c>
      <c r="N28" s="9" t="inlineStr">
        <is>
          <t>he</t>
        </is>
      </c>
      <c r="O28" s="9" t="n">
        <v>1</v>
      </c>
      <c r="P28" s="19" t="n">
        <v>2.2690618110553</v>
      </c>
      <c r="Q28" s="19" t="n">
        <v>0.232679859643043</v>
      </c>
      <c r="R28" s="9" t="n">
        <v>16</v>
      </c>
      <c r="S28" s="19" t="n">
        <v>0.207721053380966</v>
      </c>
      <c r="T28" s="19" t="n">
        <v>0.236694487121724</v>
      </c>
      <c r="U28" s="19" t="n">
        <v>0.909027344506357</v>
      </c>
      <c r="V28" s="19" t="n">
        <v>0.844877008009977</v>
      </c>
      <c r="W28" s="9" t="n">
        <v>1.27619892315001</v>
      </c>
      <c r="X28" s="9" t="n">
        <v>167.359375</v>
      </c>
      <c r="Y28" s="9" t="inlineStr">
        <is>
          <t>N</t>
        </is>
      </c>
      <c r="Z28" s="19" t="n"/>
      <c r="AA28" s="19" t="n"/>
      <c r="AB28" s="9" t="inlineStr">
        <is>
          <t>figures/clip-0.35.png</t>
        </is>
      </c>
      <c r="AC28" s="9" t="inlineStr"/>
      <c r="AD28" s="20">
        <f>IF(P28="","",P28-LN(7))</f>
        <v/>
      </c>
      <c r="AE28" s="20">
        <f>IF(OR(T28="",S28=""),"",T28-S28)</f>
        <v/>
      </c>
      <c r="AF28" s="20">
        <f>IF(OR(V28="",Seeds!$C$8=""),"",V28-Seeds!$C$8)</f>
        <v/>
      </c>
      <c r="AG28" s="20">
        <f>IF(OR(AF28="",Seeds!$C$10=""),"",IF(ABS(AF28)&gt;Seeds!$C$10,"Có","Không"))</f>
        <v/>
      </c>
    </row>
    <row r="29">
      <c r="A29" s="9" t="inlineStr">
        <is>
          <t>clip-highlr3-c0.35</t>
        </is>
      </c>
      <c r="B29" s="9" t="inlineStr">
        <is>
          <t>clipping</t>
        </is>
      </c>
      <c r="C29" s="9" t="inlineStr">
        <is>
          <t>lr 3.0 (x10), clip_norm=0.35</t>
        </is>
      </c>
      <c r="D29" s="9" t="inlineStr">
        <is>
          <t>CE</t>
        </is>
      </c>
      <c r="E29" s="9" t="inlineStr">
        <is>
          <t>SGD+momentum</t>
        </is>
      </c>
      <c r="F29" s="9" t="n">
        <v>3</v>
      </c>
      <c r="G29" s="9" t="n">
        <v>0</v>
      </c>
      <c r="H29" s="9" t="n">
        <v>512</v>
      </c>
      <c r="I29" s="9" t="n">
        <v>20</v>
      </c>
      <c r="J29" s="9" t="inlineStr">
        <is>
          <t>256-128</t>
        </is>
      </c>
      <c r="K29" s="9" t="n">
        <v>0</v>
      </c>
      <c r="L29" s="9" t="n">
        <v>0.35</v>
      </c>
      <c r="M29" s="9" t="inlineStr">
        <is>
          <t>fp32</t>
        </is>
      </c>
      <c r="N29" s="9" t="inlineStr">
        <is>
          <t>he</t>
        </is>
      </c>
      <c r="O29" s="9" t="n">
        <v>1</v>
      </c>
      <c r="P29" s="19" t="n">
        <v>2.2690618110553</v>
      </c>
      <c r="Q29" s="19" t="n">
        <v>0.919000626336158</v>
      </c>
      <c r="R29" s="9" t="n">
        <v>2</v>
      </c>
      <c r="S29" s="19" t="n">
        <v>1.00861119916916</v>
      </c>
      <c r="T29" s="19" t="n">
        <v>1.01249422137553</v>
      </c>
      <c r="U29" s="19" t="n">
        <v>0.57564381144984</v>
      </c>
      <c r="V29" s="19" t="n">
        <v>0.257723927256895</v>
      </c>
      <c r="W29" s="9" t="n">
        <v>1.26545212054999</v>
      </c>
      <c r="X29" s="9" t="n">
        <v>167.359375</v>
      </c>
      <c r="Y29" s="9" t="inlineStr">
        <is>
          <t>N</t>
        </is>
      </c>
      <c r="Z29" s="19" t="n"/>
      <c r="AA29" s="19" t="n"/>
      <c r="AB29" s="9" t="inlineStr">
        <is>
          <t>figures/clip-highlr3-c0.35.png</t>
        </is>
      </c>
      <c r="AC29" s="9" t="inlineStr"/>
      <c r="AD29" s="20">
        <f>IF(P29="","",P29-LN(7))</f>
        <v/>
      </c>
      <c r="AE29" s="20">
        <f>IF(OR(T29="",S29=""),"",T29-S29)</f>
        <v/>
      </c>
      <c r="AF29" s="20">
        <f>IF(OR(V29="",Seeds!$C$8=""),"",V29-Seeds!$C$8)</f>
        <v/>
      </c>
      <c r="AG29" s="20">
        <f>IF(OR(AF29="",Seeds!$C$10=""),"",IF(ABS(AF29)&gt;Seeds!$C$10,"Có","Không"))</f>
        <v/>
      </c>
    </row>
    <row r="30">
      <c r="A30" s="9" t="inlineStr">
        <is>
          <t>clip-highlr3-noclip</t>
        </is>
      </c>
      <c r="B30" s="9" t="inlineStr">
        <is>
          <t>clipping</t>
        </is>
      </c>
      <c r="C30" s="9" t="inlineStr">
        <is>
          <t>lr 3.0 (x10), KHÔNG clip — phản chứng</t>
        </is>
      </c>
      <c r="D30" s="9" t="inlineStr">
        <is>
          <t>CE</t>
        </is>
      </c>
      <c r="E30" s="9" t="inlineStr">
        <is>
          <t>SGD+momentum</t>
        </is>
      </c>
      <c r="F30" s="9" t="n">
        <v>3</v>
      </c>
      <c r="G30" s="9" t="n">
        <v>0</v>
      </c>
      <c r="H30" s="9" t="n">
        <v>512</v>
      </c>
      <c r="I30" s="9" t="n">
        <v>20</v>
      </c>
      <c r="J30" s="9" t="inlineStr">
        <is>
          <t>256-128</t>
        </is>
      </c>
      <c r="K30" s="9" t="n">
        <v>0</v>
      </c>
      <c r="L30" s="9" t="inlineStr">
        <is>
          <t>none</t>
        </is>
      </c>
      <c r="M30" s="9" t="inlineStr">
        <is>
          <t>fp32</t>
        </is>
      </c>
      <c r="N30" s="9" t="inlineStr">
        <is>
          <t>he</t>
        </is>
      </c>
      <c r="O30" s="9" t="n">
        <v>1</v>
      </c>
      <c r="P30" s="19" t="n">
        <v>2.2690618110553</v>
      </c>
      <c r="Q30" s="19" t="n">
        <v>1.20895315563075</v>
      </c>
      <c r="R30" s="9" t="n">
        <v>17</v>
      </c>
      <c r="S30" s="19" t="n">
        <v>1.20686348842621</v>
      </c>
      <c r="T30" s="19" t="n">
        <v>1.21009045238275</v>
      </c>
      <c r="U30" s="19" t="n">
        <v>0.487597082678944</v>
      </c>
      <c r="V30" s="19" t="n">
        <v>0.0936499901862545</v>
      </c>
      <c r="W30" s="9" t="n">
        <v>1.27639577724998</v>
      </c>
      <c r="X30" s="9" t="n">
        <v>167.359375</v>
      </c>
      <c r="Y30" s="9" t="inlineStr">
        <is>
          <t>N</t>
        </is>
      </c>
      <c r="Z30" s="19" t="n"/>
      <c r="AA30" s="19" t="n"/>
      <c r="AB30" s="9" t="inlineStr">
        <is>
          <t>figures/clip-highlr3-noclip.png</t>
        </is>
      </c>
      <c r="AC30" s="9" t="inlineStr"/>
      <c r="AD30" s="20">
        <f>IF(P30="","",P30-LN(7))</f>
        <v/>
      </c>
      <c r="AE30" s="20">
        <f>IF(OR(T30="",S30=""),"",T30-S30)</f>
        <v/>
      </c>
      <c r="AF30" s="20">
        <f>IF(OR(V30="",Seeds!$C$8=""),"",V30-Seeds!$C$8)</f>
        <v/>
      </c>
      <c r="AG30" s="20">
        <f>IF(OR(AF30="",Seeds!$C$10=""),"",IF(ABS(AF30)&gt;Seeds!$C$10,"Có","Không"))</f>
        <v/>
      </c>
    </row>
    <row r="31">
      <c r="A31" s="9" t="inlineStr">
        <is>
          <t>amp-bf16</t>
        </is>
      </c>
      <c r="B31" s="9" t="inlineStr">
        <is>
          <t>amp</t>
        </is>
      </c>
      <c r="C31" s="9" t="inlineStr">
        <is>
          <t>BF16 autocast (không GradScaler)</t>
        </is>
      </c>
      <c r="D31" s="9" t="inlineStr">
        <is>
          <t>CE</t>
        </is>
      </c>
      <c r="E31" s="9" t="inlineStr">
        <is>
          <t>SGD+momentum</t>
        </is>
      </c>
      <c r="F31" s="9" t="n">
        <v>0.3</v>
      </c>
      <c r="G31" s="9" t="n">
        <v>0</v>
      </c>
      <c r="H31" s="9" t="n">
        <v>512</v>
      </c>
      <c r="I31" s="9" t="n">
        <v>20</v>
      </c>
      <c r="J31" s="9" t="inlineStr">
        <is>
          <t>256-128</t>
        </is>
      </c>
      <c r="K31" s="9" t="n">
        <v>0</v>
      </c>
      <c r="L31" s="9" t="inlineStr">
        <is>
          <t>none</t>
        </is>
      </c>
      <c r="M31" s="9" t="inlineStr">
        <is>
          <t>bf16</t>
        </is>
      </c>
      <c r="N31" s="9" t="inlineStr">
        <is>
          <t>he</t>
        </is>
      </c>
      <c r="O31" s="9" t="n">
        <v>1</v>
      </c>
      <c r="P31" s="19" t="n">
        <v>2.2690618110553</v>
      </c>
      <c r="Q31" s="19" t="n">
        <v>0.224951138144985</v>
      </c>
      <c r="R31" s="9" t="n">
        <v>20</v>
      </c>
      <c r="S31" s="19" t="n">
        <v>0.201687188067436</v>
      </c>
      <c r="T31" s="19" t="n">
        <v>0.224951138144985</v>
      </c>
      <c r="U31" s="19" t="n">
        <v>0.910221380779243</v>
      </c>
      <c r="V31" s="19" t="n">
        <v>0.852032338824559</v>
      </c>
      <c r="W31" s="9" t="n">
        <v>1.50812743795</v>
      </c>
      <c r="X31" s="9" t="n">
        <v>167.34521484375</v>
      </c>
      <c r="Y31" s="9" t="inlineStr">
        <is>
          <t>N</t>
        </is>
      </c>
      <c r="Z31" s="19" t="n"/>
      <c r="AA31" s="19" t="n"/>
      <c r="AB31" s="9" t="inlineStr">
        <is>
          <t>figures/amp-bf16.png</t>
        </is>
      </c>
      <c r="AC31" s="9" t="inlineStr">
        <is>
          <t>T4 không có phần cứng BF16 (sm_75): nếu chạy được là qua giả lập</t>
        </is>
      </c>
      <c r="AD31" s="20">
        <f>IF(P31="","",P31-LN(7))</f>
        <v/>
      </c>
      <c r="AE31" s="20">
        <f>IF(OR(T31="",S31=""),"",T31-S31)</f>
        <v/>
      </c>
      <c r="AF31" s="20">
        <f>IF(OR(V31="",Seeds!$C$8=""),"",V31-Seeds!$C$8)</f>
        <v/>
      </c>
      <c r="AG31" s="20">
        <f>IF(OR(AF31="",Seeds!$C$10=""),"",IF(ABS(AF31)&gt;Seeds!$C$10,"Có","Không"))</f>
        <v/>
      </c>
    </row>
    <row r="32">
      <c r="A32" s="9" t="inlineStr">
        <is>
          <t>amp-fp16</t>
        </is>
      </c>
      <c r="B32" s="9" t="inlineStr">
        <is>
          <t>amp</t>
        </is>
      </c>
      <c r="C32" s="9" t="inlineStr">
        <is>
          <t>FP16 autocast + GradScaler</t>
        </is>
      </c>
      <c r="D32" s="9" t="inlineStr">
        <is>
          <t>CE</t>
        </is>
      </c>
      <c r="E32" s="9" t="inlineStr">
        <is>
          <t>SGD+momentum</t>
        </is>
      </c>
      <c r="F32" s="9" t="n">
        <v>0.3</v>
      </c>
      <c r="G32" s="9" t="n">
        <v>0</v>
      </c>
      <c r="H32" s="9" t="n">
        <v>512</v>
      </c>
      <c r="I32" s="9" t="n">
        <v>20</v>
      </c>
      <c r="J32" s="9" t="inlineStr">
        <is>
          <t>256-128</t>
        </is>
      </c>
      <c r="K32" s="9" t="n">
        <v>0</v>
      </c>
      <c r="L32" s="9" t="inlineStr">
        <is>
          <t>none</t>
        </is>
      </c>
      <c r="M32" s="9" t="inlineStr">
        <is>
          <t>fp16</t>
        </is>
      </c>
      <c r="N32" s="9" t="inlineStr">
        <is>
          <t>he</t>
        </is>
      </c>
      <c r="O32" s="9" t="n">
        <v>1</v>
      </c>
      <c r="P32" s="19" t="n">
        <v>2.2690618110553</v>
      </c>
      <c r="Q32" s="19" t="n">
        <v>0.221463160704067</v>
      </c>
      <c r="R32" s="9" t="n">
        <v>20</v>
      </c>
      <c r="S32" s="19" t="n">
        <v>0.19482754752636</v>
      </c>
      <c r="T32" s="19" t="n">
        <v>0.221463160704067</v>
      </c>
      <c r="U32" s="19" t="n">
        <v>0.913179578752609</v>
      </c>
      <c r="V32" s="19" t="n">
        <v>0.857698337507123</v>
      </c>
      <c r="W32" s="9" t="n">
        <v>1.69504588980002</v>
      </c>
      <c r="X32" s="9" t="n">
        <v>167.34619140625</v>
      </c>
      <c r="Y32" s="9" t="inlineStr">
        <is>
          <t>N</t>
        </is>
      </c>
      <c r="Z32" s="19" t="n"/>
      <c r="AA32" s="19" t="n"/>
      <c r="AB32" s="9" t="inlineStr">
        <is>
          <t>figures/amp-fp16.png</t>
        </is>
      </c>
      <c r="AC32" s="9" t="inlineStr"/>
      <c r="AD32" s="20">
        <f>IF(P32="","",P32-LN(7))</f>
        <v/>
      </c>
      <c r="AE32" s="20">
        <f>IF(OR(T32="",S32=""),"",T32-S32)</f>
        <v/>
      </c>
      <c r="AF32" s="20">
        <f>IF(OR(V32="",Seeds!$C$8=""),"",V32-Seeds!$C$8)</f>
        <v/>
      </c>
      <c r="AG32" s="20">
        <f>IF(OR(AF32="",Seeds!$C$10=""),"",IF(ABS(AF32)&gt;Seeds!$C$10,"Có","Không"))</f>
        <v/>
      </c>
    </row>
    <row r="33">
      <c r="A33" s="9" t="inlineStr">
        <is>
          <t>init-default</t>
        </is>
      </c>
      <c r="B33" s="9" t="inlineStr">
        <is>
          <t>init</t>
        </is>
      </c>
      <c r="C33" s="9" t="inlineStr">
        <is>
          <t>khởi tạo default (thay He)</t>
        </is>
      </c>
      <c r="D33" s="9" t="inlineStr">
        <is>
          <t>CE</t>
        </is>
      </c>
      <c r="E33" s="9" t="inlineStr">
        <is>
          <t>SGD+momentum</t>
        </is>
      </c>
      <c r="F33" s="9" t="n">
        <v>0.3</v>
      </c>
      <c r="G33" s="9" t="n">
        <v>0</v>
      </c>
      <c r="H33" s="9" t="n">
        <v>512</v>
      </c>
      <c r="I33" s="9" t="n">
        <v>20</v>
      </c>
      <c r="J33" s="9" t="inlineStr">
        <is>
          <t>256-128</t>
        </is>
      </c>
      <c r="K33" s="9" t="n">
        <v>0</v>
      </c>
      <c r="L33" s="9" t="inlineStr">
        <is>
          <t>none</t>
        </is>
      </c>
      <c r="M33" s="9" t="inlineStr">
        <is>
          <t>fp32</t>
        </is>
      </c>
      <c r="N33" s="9" t="inlineStr">
        <is>
          <t>default</t>
        </is>
      </c>
      <c r="O33" s="9" t="n">
        <v>1</v>
      </c>
      <c r="P33" s="19" t="n">
        <v>1.98303583909306</v>
      </c>
      <c r="Q33" s="19" t="n">
        <v>0.219207171001519</v>
      </c>
      <c r="R33" s="9" t="n">
        <v>20</v>
      </c>
      <c r="S33" s="19" t="n">
        <v>0.195874888391495</v>
      </c>
      <c r="T33" s="19" t="n">
        <v>0.219207171001519</v>
      </c>
      <c r="U33" s="19" t="n">
        <v>0.914481185860889</v>
      </c>
      <c r="V33" s="19" t="n">
        <v>0.852469732654953</v>
      </c>
      <c r="W33" s="9" t="n">
        <v>1.255860276</v>
      </c>
      <c r="X33" s="9" t="n">
        <v>167.896484375</v>
      </c>
      <c r="Y33" s="9" t="inlineStr">
        <is>
          <t>N</t>
        </is>
      </c>
      <c r="Z33" s="19" t="n"/>
      <c r="AA33" s="19" t="n"/>
      <c r="AB33" s="9" t="inlineStr">
        <is>
          <t>figures/init-default.png</t>
        </is>
      </c>
      <c r="AC33" s="9" t="inlineStr"/>
      <c r="AD33" s="20">
        <f>IF(P33="","",P33-LN(7))</f>
        <v/>
      </c>
      <c r="AE33" s="20">
        <f>IF(OR(T33="",S33=""),"",T33-S33)</f>
        <v/>
      </c>
      <c r="AF33" s="20">
        <f>IF(OR(V33="",Seeds!$C$8=""),"",V33-Seeds!$C$8)</f>
        <v/>
      </c>
      <c r="AG33" s="20">
        <f>IF(OR(AF33="",Seeds!$C$10=""),"",IF(ABS(AF33)&gt;Seeds!$C$10,"Có","Không"))</f>
        <v/>
      </c>
    </row>
    <row r="34">
      <c r="A34" s="9" t="inlineStr">
        <is>
          <t>init-normal</t>
        </is>
      </c>
      <c r="B34" s="9" t="inlineStr">
        <is>
          <t>init</t>
        </is>
      </c>
      <c r="C34" s="9" t="inlineStr">
        <is>
          <t>khởi tạo normal (thay He)</t>
        </is>
      </c>
      <c r="D34" s="9" t="inlineStr">
        <is>
          <t>CE</t>
        </is>
      </c>
      <c r="E34" s="9" t="inlineStr">
        <is>
          <t>SGD+momentum</t>
        </is>
      </c>
      <c r="F34" s="9" t="n">
        <v>0.3</v>
      </c>
      <c r="G34" s="9" t="n">
        <v>0</v>
      </c>
      <c r="H34" s="9" t="n">
        <v>512</v>
      </c>
      <c r="I34" s="9" t="n">
        <v>20</v>
      </c>
      <c r="J34" s="9" t="inlineStr">
        <is>
          <t>256-128</t>
        </is>
      </c>
      <c r="K34" s="9" t="n">
        <v>0</v>
      </c>
      <c r="L34" s="9" t="inlineStr">
        <is>
          <t>none</t>
        </is>
      </c>
      <c r="M34" s="9" t="inlineStr">
        <is>
          <t>fp32</t>
        </is>
      </c>
      <c r="N34" s="9" t="inlineStr">
        <is>
          <t>normal</t>
        </is>
      </c>
      <c r="O34" s="9" t="n">
        <v>1</v>
      </c>
      <c r="P34" s="19" t="n">
        <v>1.94599565741851</v>
      </c>
      <c r="Q34" s="19" t="n">
        <v>0.219520314371241</v>
      </c>
      <c r="R34" s="9" t="n">
        <v>20</v>
      </c>
      <c r="S34" s="19" t="n">
        <v>0.194556913433075</v>
      </c>
      <c r="T34" s="19" t="n">
        <v>0.219520314371241</v>
      </c>
      <c r="U34" s="19" t="n">
        <v>0.912749295411028</v>
      </c>
      <c r="V34" s="19" t="n">
        <v>0.855801613815003</v>
      </c>
      <c r="W34" s="9" t="n">
        <v>1.28566100849997</v>
      </c>
      <c r="X34" s="9" t="n">
        <v>167.896484375</v>
      </c>
      <c r="Y34" s="9" t="inlineStr">
        <is>
          <t>N</t>
        </is>
      </c>
      <c r="Z34" s="19" t="n"/>
      <c r="AA34" s="19" t="n"/>
      <c r="AB34" s="9" t="inlineStr">
        <is>
          <t>figures/init-normal.png</t>
        </is>
      </c>
      <c r="AC34" s="9" t="inlineStr"/>
      <c r="AD34" s="20">
        <f>IF(P34="","",P34-LN(7))</f>
        <v/>
      </c>
      <c r="AE34" s="20">
        <f>IF(OR(T34="",S34=""),"",T34-S34)</f>
        <v/>
      </c>
      <c r="AF34" s="20">
        <f>IF(OR(V34="",Seeds!$C$8=""),"",V34-Seeds!$C$8)</f>
        <v/>
      </c>
      <c r="AG34" s="20">
        <f>IF(OR(AF34="",Seeds!$C$10=""),"",IF(ABS(AF34)&gt;Seeds!$C$10,"Có","Không"))</f>
        <v/>
      </c>
    </row>
    <row r="35">
      <c r="A35" s="9" t="inlineStr">
        <is>
          <t>init-xavier</t>
        </is>
      </c>
      <c r="B35" s="9" t="inlineStr">
        <is>
          <t>init</t>
        </is>
      </c>
      <c r="C35" s="9" t="inlineStr">
        <is>
          <t>khởi tạo xavier (thay He)</t>
        </is>
      </c>
      <c r="D35" s="9" t="inlineStr">
        <is>
          <t>CE</t>
        </is>
      </c>
      <c r="E35" s="9" t="inlineStr">
        <is>
          <t>SGD+momentum</t>
        </is>
      </c>
      <c r="F35" s="9" t="n">
        <v>0.3</v>
      </c>
      <c r="G35" s="9" t="n">
        <v>0</v>
      </c>
      <c r="H35" s="9" t="n">
        <v>512</v>
      </c>
      <c r="I35" s="9" t="n">
        <v>20</v>
      </c>
      <c r="J35" s="9" t="inlineStr">
        <is>
          <t>256-128</t>
        </is>
      </c>
      <c r="K35" s="9" t="n">
        <v>0</v>
      </c>
      <c r="L35" s="9" t="inlineStr">
        <is>
          <t>none</t>
        </is>
      </c>
      <c r="M35" s="9" t="inlineStr">
        <is>
          <t>fp32</t>
        </is>
      </c>
      <c r="N35" s="9" t="inlineStr">
        <is>
          <t>xavier</t>
        </is>
      </c>
      <c r="O35" s="9" t="n">
        <v>1</v>
      </c>
      <c r="P35" s="19" t="n">
        <v>2.02217618696522</v>
      </c>
      <c r="Q35" s="19" t="n">
        <v>0.222017649063858</v>
      </c>
      <c r="R35" s="9" t="n">
        <v>20</v>
      </c>
      <c r="S35" s="19" t="n">
        <v>0.197499460535049</v>
      </c>
      <c r="T35" s="19" t="n">
        <v>0.222017649063858</v>
      </c>
      <c r="U35" s="19" t="n">
        <v>0.9125341537402381</v>
      </c>
      <c r="V35" s="19" t="n">
        <v>0.860453588416958</v>
      </c>
      <c r="W35" s="9" t="n">
        <v>1.29233924905</v>
      </c>
      <c r="X35" s="9" t="n">
        <v>167.896484375</v>
      </c>
      <c r="Y35" s="9" t="inlineStr">
        <is>
          <t>N</t>
        </is>
      </c>
      <c r="Z35" s="19" t="n"/>
      <c r="AA35" s="19" t="n"/>
      <c r="AB35" s="9" t="inlineStr">
        <is>
          <t>figures/init-xavier.png</t>
        </is>
      </c>
      <c r="AC35" s="9" t="inlineStr"/>
      <c r="AD35" s="20">
        <f>IF(P35="","",P35-LN(7))</f>
        <v/>
      </c>
      <c r="AE35" s="20">
        <f>IF(OR(T35="",S35=""),"",T35-S35)</f>
        <v/>
      </c>
      <c r="AF35" s="20">
        <f>IF(OR(V35="",Seeds!$C$8=""),"",V35-Seeds!$C$8)</f>
        <v/>
      </c>
      <c r="AG35" s="20">
        <f>IF(OR(AF35="",Seeds!$C$10=""),"",IF(ABS(AF35)&gt;Seeds!$C$10,"Có","Không"))</f>
        <v/>
      </c>
    </row>
    <row r="36">
      <c r="A36" s="9" t="inlineStr">
        <is>
          <t>init-zeros</t>
        </is>
      </c>
      <c r="B36" s="9" t="inlineStr">
        <is>
          <t>init</t>
        </is>
      </c>
      <c r="C36" s="9" t="inlineStr">
        <is>
          <t>khởi tạo zeros (thay He)</t>
        </is>
      </c>
      <c r="D36" s="9" t="inlineStr">
        <is>
          <t>CE</t>
        </is>
      </c>
      <c r="E36" s="9" t="inlineStr">
        <is>
          <t>SGD+momentum</t>
        </is>
      </c>
      <c r="F36" s="9" t="n">
        <v>0.3</v>
      </c>
      <c r="G36" s="9" t="n">
        <v>0</v>
      </c>
      <c r="H36" s="9" t="n">
        <v>512</v>
      </c>
      <c r="I36" s="9" t="n">
        <v>20</v>
      </c>
      <c r="J36" s="9" t="inlineStr">
        <is>
          <t>256-128</t>
        </is>
      </c>
      <c r="K36" s="9" t="n">
        <v>0</v>
      </c>
      <c r="L36" s="9" t="inlineStr">
        <is>
          <t>none</t>
        </is>
      </c>
      <c r="M36" s="9" t="inlineStr">
        <is>
          <t>fp32</t>
        </is>
      </c>
      <c r="N36" s="9" t="inlineStr">
        <is>
          <t>zeros</t>
        </is>
      </c>
      <c r="O36" s="9" t="n">
        <v>1</v>
      </c>
      <c r="P36" s="19" t="n">
        <v>1.94590999157795</v>
      </c>
      <c r="Q36" s="19" t="n">
        <v>1.20526171478454</v>
      </c>
      <c r="R36" s="9" t="n">
        <v>16</v>
      </c>
      <c r="S36" s="19" t="n">
        <v>1.20307721172333</v>
      </c>
      <c r="T36" s="19" t="n">
        <v>1.20625980274138</v>
      </c>
      <c r="U36" s="19" t="n">
        <v>0.487597082678944</v>
      </c>
      <c r="V36" s="19" t="n">
        <v>0.0936499901862545</v>
      </c>
      <c r="W36" s="9" t="n">
        <v>1.2688102878</v>
      </c>
      <c r="X36" s="9" t="n">
        <v>167.896484375</v>
      </c>
      <c r="Y36" s="9" t="inlineStr">
        <is>
          <t>N</t>
        </is>
      </c>
      <c r="Z36" s="19" t="n"/>
      <c r="AA36" s="19" t="n"/>
      <c r="AB36" s="9" t="inlineStr">
        <is>
          <t>figures/init-zeros.png</t>
        </is>
      </c>
      <c r="AC36" s="9" t="inlineStr"/>
      <c r="AD36" s="20">
        <f>IF(P36="","",P36-LN(7))</f>
        <v/>
      </c>
      <c r="AE36" s="20">
        <f>IF(OR(T36="",S36=""),"",T36-S36)</f>
        <v/>
      </c>
      <c r="AF36" s="20">
        <f>IF(OR(V36="",Seeds!$C$8=""),"",V36-Seeds!$C$8)</f>
        <v/>
      </c>
      <c r="AG36" s="20">
        <f>IF(OR(AF36="",Seeds!$C$10=""),"",IF(ABS(AF36)&gt;Seeds!$C$10,"Có","Không"))</f>
        <v/>
      </c>
    </row>
    <row r="37">
      <c r="A37" s="9" t="inlineStr">
        <is>
          <t>final-wide-s2</t>
        </is>
      </c>
      <c r="B37" s="9" t="inlineStr">
        <is>
          <t>final</t>
        </is>
      </c>
      <c r="C37" s="9" t="inlineStr">
        <is>
          <t>Cấu hình cuối M-wide, seed 2</t>
        </is>
      </c>
      <c r="D37" s="9" t="inlineStr">
        <is>
          <t>CE</t>
        </is>
      </c>
      <c r="E37" s="9" t="inlineStr">
        <is>
          <t>SGD+momentum</t>
        </is>
      </c>
      <c r="F37" s="9" t="n">
        <v>0.3</v>
      </c>
      <c r="G37" s="9" t="n">
        <v>0</v>
      </c>
      <c r="H37" s="9" t="n">
        <v>512</v>
      </c>
      <c r="I37" s="9" t="n">
        <v>20</v>
      </c>
      <c r="J37" s="9" t="inlineStr">
        <is>
          <t>512-256</t>
        </is>
      </c>
      <c r="K37" s="9" t="n">
        <v>0</v>
      </c>
      <c r="L37" s="9" t="inlineStr">
        <is>
          <t>none</t>
        </is>
      </c>
      <c r="M37" s="9" t="inlineStr">
        <is>
          <t>fp32</t>
        </is>
      </c>
      <c r="N37" s="9" t="inlineStr">
        <is>
          <t>he</t>
        </is>
      </c>
      <c r="O37" s="9" t="n">
        <v>2</v>
      </c>
      <c r="P37" s="19" t="n">
        <v>2.65197719695356</v>
      </c>
      <c r="Q37" s="19" t="n">
        <v>0.212819109784726</v>
      </c>
      <c r="R37" s="9" t="n">
        <v>20</v>
      </c>
      <c r="S37" s="19" t="n">
        <v>0.181784336547852</v>
      </c>
      <c r="T37" s="19" t="n">
        <v>0.212819109784726</v>
      </c>
      <c r="U37" s="19" t="n">
        <v>0.91667563090295</v>
      </c>
      <c r="V37" s="19" t="n">
        <v>0.8673664772528</v>
      </c>
      <c r="W37" s="9" t="n">
        <v>1.38028222884999</v>
      </c>
      <c r="X37" s="9" t="n">
        <v>176.4443359375</v>
      </c>
      <c r="Y37" s="9" t="inlineStr">
        <is>
          <t>N</t>
        </is>
      </c>
      <c r="Z37" s="19" t="n">
        <v>0.921594106864711</v>
      </c>
      <c r="AA37" s="19" t="n">
        <v>0.884444104656903</v>
      </c>
      <c r="AB37" s="9" t="inlineStr">
        <is>
          <t>figures/final-wide-s2.png</t>
        </is>
      </c>
      <c r="AC37" s="9" t="inlineStr">
        <is>
          <t>cấu hình cuối M-wide, seed 2; eval = mô hình huấn luyện lại trên CPU (val macro-F1 chạy lại 0.8795, best epoch 20); các cột val ở dòng này là của lần chạy gốc (GPU T4)</t>
        </is>
      </c>
      <c r="AD37" s="20">
        <f>IF(P37="","",P37-LN(7))</f>
        <v/>
      </c>
      <c r="AE37" s="20">
        <f>IF(OR(T37="",S37=""),"",T37-S37)</f>
        <v/>
      </c>
      <c r="AF37" s="20">
        <f>IF(OR(V37="",Seeds!$C$8=""),"",V37-Seeds!$C$8)</f>
        <v/>
      </c>
      <c r="AG37" s="20">
        <f>IF(OR(AF37="",Seeds!$C$10=""),"",IF(ABS(AF37)&gt;Seeds!$C$10,"Có","Không"))</f>
        <v/>
      </c>
    </row>
    <row r="38">
      <c r="A38" s="9" t="inlineStr">
        <is>
          <t>final-wide-s3</t>
        </is>
      </c>
      <c r="B38" s="9" t="inlineStr">
        <is>
          <t>final</t>
        </is>
      </c>
      <c r="C38" s="9" t="inlineStr">
        <is>
          <t>Cấu hình cuối M-wide, seed 3</t>
        </is>
      </c>
      <c r="D38" s="9" t="inlineStr">
        <is>
          <t>CE</t>
        </is>
      </c>
      <c r="E38" s="9" t="inlineStr">
        <is>
          <t>SGD+momentum</t>
        </is>
      </c>
      <c r="F38" s="9" t="n">
        <v>0.3</v>
      </c>
      <c r="G38" s="9" t="n">
        <v>0</v>
      </c>
      <c r="H38" s="9" t="n">
        <v>512</v>
      </c>
      <c r="I38" s="9" t="n">
        <v>20</v>
      </c>
      <c r="J38" s="9" t="inlineStr">
        <is>
          <t>512-256</t>
        </is>
      </c>
      <c r="K38" s="9" t="n">
        <v>0</v>
      </c>
      <c r="L38" s="9" t="inlineStr">
        <is>
          <t>none</t>
        </is>
      </c>
      <c r="M38" s="9" t="inlineStr">
        <is>
          <t>fp32</t>
        </is>
      </c>
      <c r="N38" s="9" t="inlineStr">
        <is>
          <t>he</t>
        </is>
      </c>
      <c r="O38" s="9" t="n">
        <v>3</v>
      </c>
      <c r="P38" s="19" t="n">
        <v>2.7881746520628</v>
      </c>
      <c r="Q38" s="19" t="n">
        <v>0.20690065566708</v>
      </c>
      <c r="R38" s="9" t="n">
        <v>18</v>
      </c>
      <c r="S38" s="19" t="n">
        <v>0.186967457389832</v>
      </c>
      <c r="T38" s="19" t="n">
        <v>0.212492694276668</v>
      </c>
      <c r="U38" s="19" t="n">
        <v>0.919117488866419</v>
      </c>
      <c r="V38" s="19" t="n">
        <v>0.866291617240705</v>
      </c>
      <c r="W38" s="9" t="n">
        <v>1.3723792381</v>
      </c>
      <c r="X38" s="9" t="n">
        <v>176.4443359375</v>
      </c>
      <c r="Y38" s="9" t="inlineStr">
        <is>
          <t>N</t>
        </is>
      </c>
      <c r="Z38" s="19" t="n">
        <v>0.920234417355834</v>
      </c>
      <c r="AA38" s="19" t="n">
        <v>0.870235097468094</v>
      </c>
      <c r="AB38" s="9" t="inlineStr">
        <is>
          <t>figures/final-wide-s3.png</t>
        </is>
      </c>
      <c r="AC38" s="9" t="inlineStr">
        <is>
          <t>cấu hình cuối M-wide, seed 3; eval = mô hình huấn luyện lại trên CPU (val macro-F1 chạy lại 0.8694, best epoch 20); các cột val ở dòng này là của lần chạy gốc (GPU T4)</t>
        </is>
      </c>
      <c r="AD38" s="20">
        <f>IF(P38="","",P38-LN(7))</f>
        <v/>
      </c>
      <c r="AE38" s="20">
        <f>IF(OR(T38="",S38=""),"",T38-S38)</f>
        <v/>
      </c>
      <c r="AF38" s="20">
        <f>IF(OR(V38="",Seeds!$C$8=""),"",V38-Seeds!$C$8)</f>
        <v/>
      </c>
      <c r="AG38" s="20">
        <f>IF(OR(AF38="",Seeds!$C$10=""),"",IF(ABS(AF38)&gt;Seeds!$C$10,"Có","Không"))</f>
        <v/>
      </c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19" t="n"/>
      <c r="Q39" s="19" t="n"/>
      <c r="R39" s="9" t="n"/>
      <c r="S39" s="19" t="n"/>
      <c r="T39" s="19" t="n"/>
      <c r="U39" s="19" t="n"/>
      <c r="V39" s="19" t="n"/>
      <c r="W39" s="9" t="n"/>
      <c r="X39" s="9" t="n"/>
      <c r="Y39" s="9" t="n"/>
      <c r="Z39" s="19" t="n"/>
      <c r="AA39" s="19" t="n"/>
      <c r="AB39" s="9" t="n"/>
      <c r="AC39" s="9" t="n"/>
      <c r="AD39" s="20">
        <f>IF(P39="","",P39-LN(7))</f>
        <v/>
      </c>
      <c r="AE39" s="20">
        <f>IF(OR(T39="",S39=""),"",T39-S39)</f>
        <v/>
      </c>
      <c r="AF39" s="20">
        <f>IF(OR(V39="",Seeds!$C$8=""),"",V39-Seeds!$C$8)</f>
        <v/>
      </c>
      <c r="AG39" s="20">
        <f>IF(OR(AF39="",Seeds!$C$10=""),"",IF(ABS(AF39)&gt;Seeds!$C$10,"Có","Không"))</f>
        <v/>
      </c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19" t="n"/>
      <c r="Q40" s="19" t="n"/>
      <c r="R40" s="9" t="n"/>
      <c r="S40" s="19" t="n"/>
      <c r="T40" s="19" t="n"/>
      <c r="U40" s="19" t="n"/>
      <c r="V40" s="19" t="n"/>
      <c r="W40" s="9" t="n"/>
      <c r="X40" s="9" t="n"/>
      <c r="Y40" s="9" t="n"/>
      <c r="Z40" s="19" t="n"/>
      <c r="AA40" s="19" t="n"/>
      <c r="AB40" s="9" t="n"/>
      <c r="AC40" s="9" t="n"/>
      <c r="AD40" s="20">
        <f>IF(P40="","",P40-LN(7))</f>
        <v/>
      </c>
      <c r="AE40" s="20">
        <f>IF(OR(T40="",S40=""),"",T40-S40)</f>
        <v/>
      </c>
      <c r="AF40" s="20">
        <f>IF(OR(V40="",Seeds!$C$8=""),"",V40-Seeds!$C$8)</f>
        <v/>
      </c>
      <c r="AG40" s="20">
        <f>IF(OR(AF40="",Seeds!$C$10=""),"",IF(ABS(AF40)&gt;Seeds!$C$10,"Có","Không"))</f>
        <v/>
      </c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9" t="n"/>
      <c r="Q41" s="19" t="n"/>
      <c r="R41" s="9" t="n"/>
      <c r="S41" s="19" t="n"/>
      <c r="T41" s="19" t="n"/>
      <c r="U41" s="19" t="n"/>
      <c r="V41" s="19" t="n"/>
      <c r="W41" s="9" t="n"/>
      <c r="X41" s="9" t="n"/>
      <c r="Y41" s="9" t="n"/>
      <c r="Z41" s="19" t="n"/>
      <c r="AA41" s="19" t="n"/>
      <c r="AB41" s="9" t="n"/>
      <c r="AC41" s="9" t="n"/>
      <c r="AD41" s="20">
        <f>IF(P41="","",P41-LN(7))</f>
        <v/>
      </c>
      <c r="AE41" s="20">
        <f>IF(OR(T41="",S41=""),"",T41-S41)</f>
        <v/>
      </c>
      <c r="AF41" s="20">
        <f>IF(OR(V41="",Seeds!$C$8=""),"",V41-Seeds!$C$8)</f>
        <v/>
      </c>
      <c r="AG41" s="20">
        <f>IF(OR(AF41="",Seeds!$C$10=""),"",IF(ABS(AF41)&gt;Seeds!$C$10,"Có","Không"))</f>
        <v/>
      </c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9" t="n"/>
      <c r="Q42" s="19" t="n"/>
      <c r="R42" s="9" t="n"/>
      <c r="S42" s="19" t="n"/>
      <c r="T42" s="19" t="n"/>
      <c r="U42" s="19" t="n"/>
      <c r="V42" s="19" t="n"/>
      <c r="W42" s="9" t="n"/>
      <c r="X42" s="9" t="n"/>
      <c r="Y42" s="9" t="n"/>
      <c r="Z42" s="19" t="n"/>
      <c r="AA42" s="19" t="n"/>
      <c r="AB42" s="9" t="n"/>
      <c r="AC42" s="9" t="n"/>
      <c r="AD42" s="20">
        <f>IF(P42="","",P42-LN(7))</f>
        <v/>
      </c>
      <c r="AE42" s="20">
        <f>IF(OR(T42="",S42=""),"",T42-S42)</f>
        <v/>
      </c>
      <c r="AF42" s="20">
        <f>IF(OR(V42="",Seeds!$C$8=""),"",V42-Seeds!$C$8)</f>
        <v/>
      </c>
      <c r="AG42" s="20">
        <f>IF(OR(AF42="",Seeds!$C$10=""),"",IF(ABS(AF42)&gt;Seeds!$C$10,"Có","Không"))</f>
        <v/>
      </c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9" t="n"/>
      <c r="Q43" s="19" t="n"/>
      <c r="R43" s="9" t="n"/>
      <c r="S43" s="19" t="n"/>
      <c r="T43" s="19" t="n"/>
      <c r="U43" s="19" t="n"/>
      <c r="V43" s="19" t="n"/>
      <c r="W43" s="9" t="n"/>
      <c r="X43" s="9" t="n"/>
      <c r="Y43" s="9" t="n"/>
      <c r="Z43" s="19" t="n"/>
      <c r="AA43" s="19" t="n"/>
      <c r="AB43" s="9" t="n"/>
      <c r="AC43" s="9" t="n"/>
      <c r="AD43" s="20">
        <f>IF(P43="","",P43-LN(7))</f>
        <v/>
      </c>
      <c r="AE43" s="20">
        <f>IF(OR(T43="",S43=""),"",T43-S43)</f>
        <v/>
      </c>
      <c r="AF43" s="20">
        <f>IF(OR(V43="",Seeds!$C$8=""),"",V43-Seeds!$C$8)</f>
        <v/>
      </c>
      <c r="AG43" s="20">
        <f>IF(OR(AF43="",Seeds!$C$10=""),"",IF(ABS(AF43)&gt;Seeds!$C$10,"Có","Không"))</f>
        <v/>
      </c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19" t="n"/>
      <c r="Q44" s="19" t="n"/>
      <c r="R44" s="9" t="n"/>
      <c r="S44" s="19" t="n"/>
      <c r="T44" s="19" t="n"/>
      <c r="U44" s="19" t="n"/>
      <c r="V44" s="19" t="n"/>
      <c r="W44" s="9" t="n"/>
      <c r="X44" s="9" t="n"/>
      <c r="Y44" s="9" t="n"/>
      <c r="Z44" s="19" t="n"/>
      <c r="AA44" s="19" t="n"/>
      <c r="AB44" s="9" t="n"/>
      <c r="AC44" s="9" t="n"/>
      <c r="AD44" s="20">
        <f>IF(P44="","",P44-LN(7))</f>
        <v/>
      </c>
      <c r="AE44" s="20">
        <f>IF(OR(T44="",S44=""),"",T44-S44)</f>
        <v/>
      </c>
      <c r="AF44" s="20">
        <f>IF(OR(V44="",Seeds!$C$8=""),"",V44-Seeds!$C$8)</f>
        <v/>
      </c>
      <c r="AG44" s="20">
        <f>IF(OR(AF44="",Seeds!$C$10=""),"",IF(ABS(AF44)&gt;Seeds!$C$10,"Có","Không"))</f>
        <v/>
      </c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19" t="n"/>
      <c r="Q45" s="19" t="n"/>
      <c r="R45" s="9" t="n"/>
      <c r="S45" s="19" t="n"/>
      <c r="T45" s="19" t="n"/>
      <c r="U45" s="19" t="n"/>
      <c r="V45" s="19" t="n"/>
      <c r="W45" s="9" t="n"/>
      <c r="X45" s="9" t="n"/>
      <c r="Y45" s="9" t="n"/>
      <c r="Z45" s="19" t="n"/>
      <c r="AA45" s="19" t="n"/>
      <c r="AB45" s="9" t="n"/>
      <c r="AC45" s="9" t="n"/>
      <c r="AD45" s="20">
        <f>IF(P45="","",P45-LN(7))</f>
        <v/>
      </c>
      <c r="AE45" s="20">
        <f>IF(OR(T45="",S45=""),"",T45-S45)</f>
        <v/>
      </c>
      <c r="AF45" s="20">
        <f>IF(OR(V45="",Seeds!$C$8=""),"",V45-Seeds!$C$8)</f>
        <v/>
      </c>
      <c r="AG45" s="20">
        <f>IF(OR(AF45="",Seeds!$C$10=""),"",IF(ABS(AF45)&gt;Seeds!$C$10,"Có","Không"))</f>
        <v/>
      </c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19" t="n"/>
      <c r="Q46" s="19" t="n"/>
      <c r="R46" s="9" t="n"/>
      <c r="S46" s="19" t="n"/>
      <c r="T46" s="19" t="n"/>
      <c r="U46" s="19" t="n"/>
      <c r="V46" s="19" t="n"/>
      <c r="W46" s="9" t="n"/>
      <c r="X46" s="9" t="n"/>
      <c r="Y46" s="9" t="n"/>
      <c r="Z46" s="19" t="n"/>
      <c r="AA46" s="19" t="n"/>
      <c r="AB46" s="9" t="n"/>
      <c r="AC46" s="9" t="n"/>
      <c r="AD46" s="20">
        <f>IF(P46="","",P46-LN(7))</f>
        <v/>
      </c>
      <c r="AE46" s="20">
        <f>IF(OR(T46="",S46=""),"",T46-S46)</f>
        <v/>
      </c>
      <c r="AF46" s="20">
        <f>IF(OR(V46="",Seeds!$C$8=""),"",V46-Seeds!$C$8)</f>
        <v/>
      </c>
      <c r="AG46" s="20">
        <f>IF(OR(AF46="",Seeds!$C$10=""),"",IF(ABS(AF46)&gt;Seeds!$C$10,"Có","Không"))</f>
        <v/>
      </c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19" t="n"/>
      <c r="Q47" s="19" t="n"/>
      <c r="R47" s="9" t="n"/>
      <c r="S47" s="19" t="n"/>
      <c r="T47" s="19" t="n"/>
      <c r="U47" s="19" t="n"/>
      <c r="V47" s="19" t="n"/>
      <c r="W47" s="9" t="n"/>
      <c r="X47" s="9" t="n"/>
      <c r="Y47" s="9" t="n"/>
      <c r="Z47" s="19" t="n"/>
      <c r="AA47" s="19" t="n"/>
      <c r="AB47" s="9" t="n"/>
      <c r="AC47" s="9" t="n"/>
      <c r="AD47" s="20">
        <f>IF(P47="","",P47-LN(7))</f>
        <v/>
      </c>
      <c r="AE47" s="20">
        <f>IF(OR(T47="",S47=""),"",T47-S47)</f>
        <v/>
      </c>
      <c r="AF47" s="20">
        <f>IF(OR(V47="",Seeds!$C$8=""),"",V47-Seeds!$C$8)</f>
        <v/>
      </c>
      <c r="AG47" s="20">
        <f>IF(OR(AF47="",Seeds!$C$10=""),"",IF(ABS(AF47)&gt;Seeds!$C$10,"Có","Không"))</f>
        <v/>
      </c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19" t="n"/>
      <c r="Q48" s="19" t="n"/>
      <c r="R48" s="9" t="n"/>
      <c r="S48" s="19" t="n"/>
      <c r="T48" s="19" t="n"/>
      <c r="U48" s="19" t="n"/>
      <c r="V48" s="19" t="n"/>
      <c r="W48" s="9" t="n"/>
      <c r="X48" s="9" t="n"/>
      <c r="Y48" s="9" t="n"/>
      <c r="Z48" s="19" t="n"/>
      <c r="AA48" s="19" t="n"/>
      <c r="AB48" s="9" t="n"/>
      <c r="AC48" s="9" t="n"/>
      <c r="AD48" s="20">
        <f>IF(P48="","",P48-LN(7))</f>
        <v/>
      </c>
      <c r="AE48" s="20">
        <f>IF(OR(T48="",S48=""),"",T48-S48)</f>
        <v/>
      </c>
      <c r="AF48" s="20">
        <f>IF(OR(V48="",Seeds!$C$8=""),"",V48-Seeds!$C$8)</f>
        <v/>
      </c>
      <c r="AG48" s="20">
        <f>IF(OR(AF48="",Seeds!$C$10=""),"",IF(ABS(AF48)&gt;Seeds!$C$10,"Có","Không"))</f>
        <v/>
      </c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19" t="n"/>
      <c r="Q49" s="19" t="n"/>
      <c r="R49" s="9" t="n"/>
      <c r="S49" s="19" t="n"/>
      <c r="T49" s="19" t="n"/>
      <c r="U49" s="19" t="n"/>
      <c r="V49" s="19" t="n"/>
      <c r="W49" s="9" t="n"/>
      <c r="X49" s="9" t="n"/>
      <c r="Y49" s="9" t="n"/>
      <c r="Z49" s="19" t="n"/>
      <c r="AA49" s="19" t="n"/>
      <c r="AB49" s="9" t="n"/>
      <c r="AC49" s="9" t="n"/>
      <c r="AD49" s="20">
        <f>IF(P49="","",P49-LN(7))</f>
        <v/>
      </c>
      <c r="AE49" s="20">
        <f>IF(OR(T49="",S49=""),"",T49-S49)</f>
        <v/>
      </c>
      <c r="AF49" s="20">
        <f>IF(OR(V49="",Seeds!$C$8=""),"",V49-Seeds!$C$8)</f>
        <v/>
      </c>
      <c r="AG49" s="20">
        <f>IF(OR(AF49="",Seeds!$C$10=""),"",IF(ABS(AF49)&gt;Seeds!$C$10,"Có","Không"))</f>
        <v/>
      </c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19" t="n"/>
      <c r="Q50" s="19" t="n"/>
      <c r="R50" s="9" t="n"/>
      <c r="S50" s="19" t="n"/>
      <c r="T50" s="19" t="n"/>
      <c r="U50" s="19" t="n"/>
      <c r="V50" s="19" t="n"/>
      <c r="W50" s="9" t="n"/>
      <c r="X50" s="9" t="n"/>
      <c r="Y50" s="9" t="n"/>
      <c r="Z50" s="19" t="n"/>
      <c r="AA50" s="19" t="n"/>
      <c r="AB50" s="9" t="n"/>
      <c r="AC50" s="9" t="n"/>
      <c r="AD50" s="20">
        <f>IF(P50="","",P50-LN(7))</f>
        <v/>
      </c>
      <c r="AE50" s="20">
        <f>IF(OR(T50="",S50=""),"",T50-S50)</f>
        <v/>
      </c>
      <c r="AF50" s="20">
        <f>IF(OR(V50="",Seeds!$C$8=""),"",V50-Seeds!$C$8)</f>
        <v/>
      </c>
      <c r="AG50" s="20">
        <f>IF(OR(AF50="",Seeds!$C$10=""),"",IF(ABS(AF50)&gt;Seeds!$C$10,"Có","Không"))</f>
        <v/>
      </c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19" t="n"/>
      <c r="Q51" s="19" t="n"/>
      <c r="R51" s="9" t="n"/>
      <c r="S51" s="19" t="n"/>
      <c r="T51" s="19" t="n"/>
      <c r="U51" s="19" t="n"/>
      <c r="V51" s="19" t="n"/>
      <c r="W51" s="9" t="n"/>
      <c r="X51" s="9" t="n"/>
      <c r="Y51" s="9" t="n"/>
      <c r="Z51" s="19" t="n"/>
      <c r="AA51" s="19" t="n"/>
      <c r="AB51" s="9" t="n"/>
      <c r="AC51" s="9" t="n"/>
      <c r="AD51" s="20">
        <f>IF(P51="","",P51-LN(7))</f>
        <v/>
      </c>
      <c r="AE51" s="20">
        <f>IF(OR(T51="",S51=""),"",T51-S51)</f>
        <v/>
      </c>
      <c r="AF51" s="20">
        <f>IF(OR(V51="",Seeds!$C$8=""),"",V51-Seeds!$C$8)</f>
        <v/>
      </c>
      <c r="AG51" s="20">
        <f>IF(OR(AF51="",Seeds!$C$10=""),"",IF(ABS(AF51)&gt;Seeds!$C$10,"Có","Không"))</f>
        <v/>
      </c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19" t="n"/>
      <c r="Q52" s="19" t="n"/>
      <c r="R52" s="9" t="n"/>
      <c r="S52" s="19" t="n"/>
      <c r="T52" s="19" t="n"/>
      <c r="U52" s="19" t="n"/>
      <c r="V52" s="19" t="n"/>
      <c r="W52" s="9" t="n"/>
      <c r="X52" s="9" t="n"/>
      <c r="Y52" s="9" t="n"/>
      <c r="Z52" s="19" t="n"/>
      <c r="AA52" s="19" t="n"/>
      <c r="AB52" s="9" t="n"/>
      <c r="AC52" s="9" t="n"/>
      <c r="AD52" s="20">
        <f>IF(P52="","",P52-LN(7))</f>
        <v/>
      </c>
      <c r="AE52" s="20">
        <f>IF(OR(T52="",S52=""),"",T52-S52)</f>
        <v/>
      </c>
      <c r="AF52" s="20">
        <f>IF(OR(V52="",Seeds!$C$8=""),"",V52-Seeds!$C$8)</f>
        <v/>
      </c>
      <c r="AG52" s="20">
        <f>IF(OR(AF52="",Seeds!$C$10=""),"",IF(ABS(AF52)&gt;Seeds!$C$10,"Có","Không"))</f>
        <v/>
      </c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19" t="n"/>
      <c r="Q53" s="19" t="n"/>
      <c r="R53" s="9" t="n"/>
      <c r="S53" s="19" t="n"/>
      <c r="T53" s="19" t="n"/>
      <c r="U53" s="19" t="n"/>
      <c r="V53" s="19" t="n"/>
      <c r="W53" s="9" t="n"/>
      <c r="X53" s="9" t="n"/>
      <c r="Y53" s="9" t="n"/>
      <c r="Z53" s="19" t="n"/>
      <c r="AA53" s="19" t="n"/>
      <c r="AB53" s="9" t="n"/>
      <c r="AC53" s="9" t="n"/>
      <c r="AD53" s="20">
        <f>IF(P53="","",P53-LN(7))</f>
        <v/>
      </c>
      <c r="AE53" s="20">
        <f>IF(OR(T53="",S53=""),"",T53-S53)</f>
        <v/>
      </c>
      <c r="AF53" s="20">
        <f>IF(OR(V53="",Seeds!$C$8=""),"",V53-Seeds!$C$8)</f>
        <v/>
      </c>
      <c r="AG53" s="20">
        <f>IF(OR(AF53="",Seeds!$C$10=""),"",IF(ABS(AF53)&gt;Seeds!$C$10,"Có","Không"))</f>
        <v/>
      </c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19" t="n"/>
      <c r="Q54" s="19" t="n"/>
      <c r="R54" s="9" t="n"/>
      <c r="S54" s="19" t="n"/>
      <c r="T54" s="19" t="n"/>
      <c r="U54" s="19" t="n"/>
      <c r="V54" s="19" t="n"/>
      <c r="W54" s="9" t="n"/>
      <c r="X54" s="9" t="n"/>
      <c r="Y54" s="9" t="n"/>
      <c r="Z54" s="19" t="n"/>
      <c r="AA54" s="19" t="n"/>
      <c r="AB54" s="9" t="n"/>
      <c r="AC54" s="9" t="n"/>
      <c r="AD54" s="20">
        <f>IF(P54="","",P54-LN(7))</f>
        <v/>
      </c>
      <c r="AE54" s="20">
        <f>IF(OR(T54="",S54=""),"",T54-S54)</f>
        <v/>
      </c>
      <c r="AF54" s="20">
        <f>IF(OR(V54="",Seeds!$C$8=""),"",V54-Seeds!$C$8)</f>
        <v/>
      </c>
      <c r="AG54" s="20">
        <f>IF(OR(AF54="",Seeds!$C$10=""),"",IF(ABS(AF54)&gt;Seeds!$C$10,"Có","Không"))</f>
        <v/>
      </c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19" t="n"/>
      <c r="Q55" s="19" t="n"/>
      <c r="R55" s="9" t="n"/>
      <c r="S55" s="19" t="n"/>
      <c r="T55" s="19" t="n"/>
      <c r="U55" s="19" t="n"/>
      <c r="V55" s="19" t="n"/>
      <c r="W55" s="9" t="n"/>
      <c r="X55" s="9" t="n"/>
      <c r="Y55" s="9" t="n"/>
      <c r="Z55" s="19" t="n"/>
      <c r="AA55" s="19" t="n"/>
      <c r="AB55" s="9" t="n"/>
      <c r="AC55" s="9" t="n"/>
      <c r="AD55" s="20">
        <f>IF(P55="","",P55-LN(7))</f>
        <v/>
      </c>
      <c r="AE55" s="20">
        <f>IF(OR(T55="",S55=""),"",T55-S55)</f>
        <v/>
      </c>
      <c r="AF55" s="20">
        <f>IF(OR(V55="",Seeds!$C$8=""),"",V55-Seeds!$C$8)</f>
        <v/>
      </c>
      <c r="AG55" s="20">
        <f>IF(OR(AF55="",Seeds!$C$10=""),"",IF(ABS(AF55)&gt;Seeds!$C$10,"Có","Không"))</f>
        <v/>
      </c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19" t="n"/>
      <c r="Q56" s="19" t="n"/>
      <c r="R56" s="9" t="n"/>
      <c r="S56" s="19" t="n"/>
      <c r="T56" s="19" t="n"/>
      <c r="U56" s="19" t="n"/>
      <c r="V56" s="19" t="n"/>
      <c r="W56" s="9" t="n"/>
      <c r="X56" s="9" t="n"/>
      <c r="Y56" s="9" t="n"/>
      <c r="Z56" s="19" t="n"/>
      <c r="AA56" s="19" t="n"/>
      <c r="AB56" s="9" t="n"/>
      <c r="AC56" s="9" t="n"/>
      <c r="AD56" s="20">
        <f>IF(P56="","",P56-LN(7))</f>
        <v/>
      </c>
      <c r="AE56" s="20">
        <f>IF(OR(T56="",S56=""),"",T56-S56)</f>
        <v/>
      </c>
      <c r="AF56" s="20">
        <f>IF(OR(V56="",Seeds!$C$8=""),"",V56-Seeds!$C$8)</f>
        <v/>
      </c>
      <c r="AG56" s="20">
        <f>IF(OR(AF56="",Seeds!$C$10=""),"",IF(ABS(AF56)&gt;Seeds!$C$10,"Có","Không"))</f>
        <v/>
      </c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19" t="n"/>
      <c r="Q57" s="19" t="n"/>
      <c r="R57" s="9" t="n"/>
      <c r="S57" s="19" t="n"/>
      <c r="T57" s="19" t="n"/>
      <c r="U57" s="19" t="n"/>
      <c r="V57" s="19" t="n"/>
      <c r="W57" s="9" t="n"/>
      <c r="X57" s="9" t="n"/>
      <c r="Y57" s="9" t="n"/>
      <c r="Z57" s="19" t="n"/>
      <c r="AA57" s="19" t="n"/>
      <c r="AB57" s="9" t="n"/>
      <c r="AC57" s="9" t="n"/>
      <c r="AD57" s="20">
        <f>IF(P57="","",P57-LN(7))</f>
        <v/>
      </c>
      <c r="AE57" s="20">
        <f>IF(OR(T57="",S57=""),"",T57-S57)</f>
        <v/>
      </c>
      <c r="AF57" s="20">
        <f>IF(OR(V57="",Seeds!$C$8=""),"",V57-Seeds!$C$8)</f>
        <v/>
      </c>
      <c r="AG57" s="20">
        <f>IF(OR(AF57="",Seeds!$C$10=""),"",IF(ABS(AF57)&gt;Seeds!$C$10,"Có","Không"))</f>
        <v/>
      </c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19" t="n"/>
      <c r="Q58" s="19" t="n"/>
      <c r="R58" s="9" t="n"/>
      <c r="S58" s="19" t="n"/>
      <c r="T58" s="19" t="n"/>
      <c r="U58" s="19" t="n"/>
      <c r="V58" s="19" t="n"/>
      <c r="W58" s="9" t="n"/>
      <c r="X58" s="9" t="n"/>
      <c r="Y58" s="9" t="n"/>
      <c r="Z58" s="19" t="n"/>
      <c r="AA58" s="19" t="n"/>
      <c r="AB58" s="9" t="n"/>
      <c r="AC58" s="9" t="n"/>
      <c r="AD58" s="20">
        <f>IF(P58="","",P58-LN(7))</f>
        <v/>
      </c>
      <c r="AE58" s="20">
        <f>IF(OR(T58="",S58=""),"",T58-S58)</f>
        <v/>
      </c>
      <c r="AF58" s="20">
        <f>IF(OR(V58="",Seeds!$C$8=""),"",V58-Seeds!$C$8)</f>
        <v/>
      </c>
      <c r="AG58" s="20">
        <f>IF(OR(AF58="",Seeds!$C$10=""),"",IF(ABS(AF58)&gt;Seeds!$C$10,"Có","Không"))</f>
        <v/>
      </c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19" t="n"/>
      <c r="Q59" s="19" t="n"/>
      <c r="R59" s="9" t="n"/>
      <c r="S59" s="19" t="n"/>
      <c r="T59" s="19" t="n"/>
      <c r="U59" s="19" t="n"/>
      <c r="V59" s="19" t="n"/>
      <c r="W59" s="9" t="n"/>
      <c r="X59" s="9" t="n"/>
      <c r="Y59" s="9" t="n"/>
      <c r="Z59" s="19" t="n"/>
      <c r="AA59" s="19" t="n"/>
      <c r="AB59" s="9" t="n"/>
      <c r="AC59" s="9" t="n"/>
      <c r="AD59" s="20">
        <f>IF(P59="","",P59-LN(7))</f>
        <v/>
      </c>
      <c r="AE59" s="20">
        <f>IF(OR(T59="",S59=""),"",T59-S59)</f>
        <v/>
      </c>
      <c r="AF59" s="20">
        <f>IF(OR(V59="",Seeds!$C$8=""),"",V59-Seeds!$C$8)</f>
        <v/>
      </c>
      <c r="AG59" s="20">
        <f>IF(OR(AF59="",Seeds!$C$10=""),"",IF(ABS(AF59)&gt;Seeds!$C$10,"Có","Không"))</f>
        <v/>
      </c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19" t="n"/>
      <c r="Q60" s="19" t="n"/>
      <c r="R60" s="9" t="n"/>
      <c r="S60" s="19" t="n"/>
      <c r="T60" s="19" t="n"/>
      <c r="U60" s="19" t="n"/>
      <c r="V60" s="19" t="n"/>
      <c r="W60" s="9" t="n"/>
      <c r="X60" s="9" t="n"/>
      <c r="Y60" s="9" t="n"/>
      <c r="Z60" s="19" t="n"/>
      <c r="AA60" s="19" t="n"/>
      <c r="AB60" s="9" t="n"/>
      <c r="AC60" s="9" t="n"/>
      <c r="AD60" s="20">
        <f>IF(P60="","",P60-LN(7))</f>
        <v/>
      </c>
      <c r="AE60" s="20">
        <f>IF(OR(T60="",S60=""),"",T60-S60)</f>
        <v/>
      </c>
      <c r="AF60" s="20">
        <f>IF(OR(V60="",Seeds!$C$8=""),"",V60-Seeds!$C$8)</f>
        <v/>
      </c>
      <c r="AG60" s="20">
        <f>IF(OR(AF60="",Seeds!$C$10=""),"",IF(ABS(AF60)&gt;Seeds!$C$10,"Có","Không"))</f>
        <v/>
      </c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19" t="n"/>
      <c r="Q61" s="19" t="n"/>
      <c r="R61" s="9" t="n"/>
      <c r="S61" s="19" t="n"/>
      <c r="T61" s="19" t="n"/>
      <c r="U61" s="19" t="n"/>
      <c r="V61" s="19" t="n"/>
      <c r="W61" s="9" t="n"/>
      <c r="X61" s="9" t="n"/>
      <c r="Y61" s="9" t="n"/>
      <c r="Z61" s="19" t="n"/>
      <c r="AA61" s="19" t="n"/>
      <c r="AB61" s="9" t="n"/>
      <c r="AC61" s="9" t="n"/>
      <c r="AD61" s="20">
        <f>IF(P61="","",P61-LN(7))</f>
        <v/>
      </c>
      <c r="AE61" s="20">
        <f>IF(OR(T61="",S61=""),"",T61-S61)</f>
        <v/>
      </c>
      <c r="AF61" s="20">
        <f>IF(OR(V61="",Seeds!$C$8=""),"",V61-Seeds!$C$8)</f>
        <v/>
      </c>
      <c r="AG61" s="20">
        <f>IF(OR(AF61="",Seeds!$C$10=""),"",IF(ABS(AF61)&gt;Seeds!$C$10,"Có","Không"))</f>
        <v/>
      </c>
    </row>
  </sheetData>
  <autoFilter ref="A1:AG61"/>
  <dataValidations count="6">
    <dataValidation sqref="B2:B61" showDropDown="0" showInputMessage="0" showErrorMessage="0" allowBlank="1" type="list">
      <formula1>"baseline,loss,optimizer,hparam,dropout,clipping,amp,init,final,other"</formula1>
    </dataValidation>
    <dataValidation sqref="D2:D61" showDropDown="0" showInputMessage="0" showErrorMessage="0" allowBlank="1" type="list">
      <formula1>"CE,MSE"</formula1>
    </dataValidation>
    <dataValidation sqref="E2:E61" showDropDown="0" showInputMessage="0" showErrorMessage="0" allowBlank="1" type="list">
      <formula1>"SGD,SGD+momentum,Adam,AdamW"</formula1>
    </dataValidation>
    <dataValidation sqref="M2:M61" showDropDown="0" showInputMessage="0" showErrorMessage="0" allowBlank="1" type="list">
      <formula1>"fp32,fp16,bf16"</formula1>
    </dataValidation>
    <dataValidation sqref="N2:N61" showDropDown="0" showInputMessage="0" showErrorMessage="0" allowBlank="1" type="list">
      <formula1>"zeros,normal,xavier,he,default"</formula1>
    </dataValidation>
    <dataValidation sqref="Y2:Y61" showDropDown="0" showInputMessage="0" showErrorMessage="0" allowBlank="1" type="list">
      <formula1>"Y,N"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ColWidth="8.676190476190479" defaultRowHeight="15"/>
  <cols>
    <col width="26" customWidth="1" min="1" max="1"/>
    <col width="16" customWidth="1" min="2" max="4"/>
  </cols>
  <sheetData>
    <row r="1" ht="30" customHeight="1">
      <c r="A1" s="1" t="inlineStr">
        <is>
          <t>exp_id baseline (nhập)</t>
        </is>
      </c>
      <c r="B1" s="1" t="inlineStr">
        <is>
          <t>val_acc</t>
        </is>
      </c>
      <c r="C1" s="1" t="inlineStr">
        <is>
          <t>val_macro_f1</t>
        </is>
      </c>
      <c r="D1" s="1" t="inlineStr">
        <is>
          <t>best_val_loss</t>
        </is>
      </c>
    </row>
    <row r="2">
      <c r="A2" s="8" t="inlineStr">
        <is>
          <t>base-s1</t>
        </is>
      </c>
      <c r="B2" s="20">
        <f>IF($A2="","",IFERROR(IF(INDEX(Experiments!$U$2:$U$61,MATCH($A2,Experiments!$A$2:$A$61,0))="","",INDEX(Experiments!$U$2:$U$61,MATCH($A2,Experiments!$A$2:$A$61,0))),""))</f>
        <v/>
      </c>
      <c r="C2" s="20">
        <f>IF($A2="","",IFERROR(IF(INDEX(Experiments!$V$2:$V$61,MATCH($A2,Experiments!$A$2:$A$61,0))="","",INDEX(Experiments!$V$2:$V$61,MATCH($A2,Experiments!$A$2:$A$61,0))),""))</f>
        <v/>
      </c>
      <c r="D2" s="20">
        <f>IF($A2="","",IFERROR(IF(INDEX(Experiments!$Q$2:$Q$61,MATCH($A2,Experiments!$A$2:$A$61,0))="","",INDEX(Experiments!$Q$2:$Q$61,MATCH($A2,Experiments!$A$2:$A$61,0))),""))</f>
        <v/>
      </c>
    </row>
    <row r="3">
      <c r="A3" s="8" t="inlineStr">
        <is>
          <t>base-s2</t>
        </is>
      </c>
      <c r="B3" s="20">
        <f>IF($A3="","",IFERROR(IF(INDEX(Experiments!$U$2:$U$61,MATCH($A3,Experiments!$A$2:$A$61,0))="","",INDEX(Experiments!$U$2:$U$61,MATCH($A3,Experiments!$A$2:$A$61,0))),""))</f>
        <v/>
      </c>
      <c r="C3" s="20">
        <f>IF($A3="","",IFERROR(IF(INDEX(Experiments!$V$2:$V$61,MATCH($A3,Experiments!$A$2:$A$61,0))="","",INDEX(Experiments!$V$2:$V$61,MATCH($A3,Experiments!$A$2:$A$61,0))),""))</f>
        <v/>
      </c>
      <c r="D3" s="20">
        <f>IF($A3="","",IFERROR(IF(INDEX(Experiments!$Q$2:$Q$61,MATCH($A3,Experiments!$A$2:$A$61,0))="","",INDEX(Experiments!$Q$2:$Q$61,MATCH($A3,Experiments!$A$2:$A$61,0))),""))</f>
        <v/>
      </c>
    </row>
    <row r="4">
      <c r="A4" s="8" t="inlineStr">
        <is>
          <t>base-s3</t>
        </is>
      </c>
      <c r="B4" s="20">
        <f>IF($A4="","",IFERROR(IF(INDEX(Experiments!$U$2:$U$61,MATCH($A4,Experiments!$A$2:$A$61,0))="","",INDEX(Experiments!$U$2:$U$61,MATCH($A4,Experiments!$A$2:$A$61,0))),""))</f>
        <v/>
      </c>
      <c r="C4" s="20">
        <f>IF($A4="","",IFERROR(IF(INDEX(Experiments!$V$2:$V$61,MATCH($A4,Experiments!$A$2:$A$61,0))="","",INDEX(Experiments!$V$2:$V$61,MATCH($A4,Experiments!$A$2:$A$61,0))),""))</f>
        <v/>
      </c>
      <c r="D4" s="20">
        <f>IF($A4="","",IFERROR(IF(INDEX(Experiments!$Q$2:$Q$61,MATCH($A4,Experiments!$A$2:$A$61,0))="","",INDEX(Experiments!$Q$2:$Q$61,MATCH($A4,Experiments!$A$2:$A$61,0))),""))</f>
        <v/>
      </c>
    </row>
    <row r="5">
      <c r="A5" s="9" t="n"/>
      <c r="B5" s="20">
        <f>IF($A5="","",IFERROR(IF(INDEX(Experiments!$U$2:$U$61,MATCH($A5,Experiments!$A$2:$A$61,0))="","",INDEX(Experiments!$U$2:$U$61,MATCH($A5,Experiments!$A$2:$A$61,0))),""))</f>
        <v/>
      </c>
      <c r="C5" s="20">
        <f>IF($A5="","",IFERROR(IF(INDEX(Experiments!$V$2:$V$61,MATCH($A5,Experiments!$A$2:$A$61,0))="","",INDEX(Experiments!$V$2:$V$61,MATCH($A5,Experiments!$A$2:$A$61,0))),""))</f>
        <v/>
      </c>
      <c r="D5" s="20">
        <f>IF($A5="","",IFERROR(IF(INDEX(Experiments!$Q$2:$Q$61,MATCH($A5,Experiments!$A$2:$A$61,0))="","",INDEX(Experiments!$Q$2:$Q$61,MATCH($A5,Experiments!$A$2:$A$61,0))),""))</f>
        <v/>
      </c>
    </row>
    <row r="6">
      <c r="A6" s="9" t="n"/>
      <c r="B6" s="20">
        <f>IF($A6="","",IFERROR(IF(INDEX(Experiments!$U$2:$U$61,MATCH($A6,Experiments!$A$2:$A$61,0))="","",INDEX(Experiments!$U$2:$U$61,MATCH($A6,Experiments!$A$2:$A$61,0))),""))</f>
        <v/>
      </c>
      <c r="C6" s="20">
        <f>IF($A6="","",IFERROR(IF(INDEX(Experiments!$V$2:$V$61,MATCH($A6,Experiments!$A$2:$A$61,0))="","",INDEX(Experiments!$V$2:$V$61,MATCH($A6,Experiments!$A$2:$A$61,0))),""))</f>
        <v/>
      </c>
      <c r="D6" s="20">
        <f>IF($A6="","",IFERROR(IF(INDEX(Experiments!$Q$2:$Q$61,MATCH($A6,Experiments!$A$2:$A$61,0))="","",INDEX(Experiments!$Q$2:$Q$61,MATCH($A6,Experiments!$A$2:$A$61,0))),""))</f>
        <v/>
      </c>
    </row>
    <row r="8">
      <c r="A8" s="10" t="inlineStr">
        <is>
          <t>mean</t>
        </is>
      </c>
      <c r="B8" s="20">
        <f>IF(COUNT(B2:B6)=0,"",AVERAGE(B2:B6))</f>
        <v/>
      </c>
      <c r="C8" s="20">
        <f>IF(COUNT(C2:C6)=0,"",AVERAGE(C2:C6))</f>
        <v/>
      </c>
      <c r="D8" s="20">
        <f>IF(COUNT(D2:D6)=0,"",AVERAGE(D2:D6))</f>
        <v/>
      </c>
    </row>
    <row r="9">
      <c r="A9" s="10" t="inlineStr">
        <is>
          <t>std (mẫu)</t>
        </is>
      </c>
      <c r="B9" s="20">
        <f>IF(COUNT(B2:B6)&lt;2,"",STDEV(B2:B6))</f>
        <v/>
      </c>
      <c r="C9" s="20">
        <f>IF(COUNT(C2:C6)&lt;2,"",STDEV(C2:C6))</f>
        <v/>
      </c>
      <c r="D9" s="20">
        <f>IF(COUNT(D2:D6)&lt;2,"",STDEV(D2:D6))</f>
        <v/>
      </c>
    </row>
    <row r="10">
      <c r="A10" s="10" t="inlineStr">
        <is>
          <t>2σ (ngưỡng nhiễu)</t>
        </is>
      </c>
      <c r="B10" s="20">
        <f>IF(B9="","",2*B9)</f>
        <v/>
      </c>
      <c r="C10" s="20">
        <f>IF(C9="","",2*C9)</f>
        <v/>
      </c>
      <c r="D10" s="20">
        <f>IF(D9="","",2*D9)</f>
        <v/>
      </c>
    </row>
    <row r="12">
      <c r="A12" s="7" t="inlineStr">
        <is>
          <t>Nhập exp_id của các lần chạy baseline (khác seed) ở cột A. Cần ≥ 2 seed để có σ.</t>
        </is>
      </c>
    </row>
    <row r="13">
      <c r="A13" s="7" t="inlineStr">
        <is>
          <t>Mọi chênh lệch nhỏ hơn 2σ không được coi là bằng chứng. Với ít seed, σ chỉ là ước lượng thô; nêu rõ trong báo cáo.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ColWidth="8.676190476190479" defaultRowHeight="15"/>
  <cols>
    <col width="12" customWidth="1" min="1" max="1"/>
    <col width="10" customWidth="1" min="2" max="2"/>
    <col width="16" customWidth="1" min="3" max="5"/>
    <col width="14" customWidth="1" min="6" max="6"/>
    <col width="16" customWidth="1" min="7" max="7"/>
    <col width="50" customWidth="1" min="8" max="8"/>
  </cols>
  <sheetData>
    <row r="1" ht="31.5" customHeight="1">
      <c r="A1" s="1" t="inlineStr">
        <is>
          <t>group</t>
        </is>
      </c>
      <c r="B1" s="1" t="inlineStr">
        <is>
          <t>số dòng</t>
        </is>
      </c>
      <c r="C1" s="1" t="inlineStr">
        <is>
          <t>đã điền val_macro_f1</t>
        </is>
      </c>
      <c r="D1" s="1" t="inlineStr">
        <is>
          <t>val_macro_f1 cao nhất</t>
        </is>
      </c>
      <c r="E1" s="1" t="inlineStr">
        <is>
          <t>val_macro_f1 thấp nhất</t>
        </is>
      </c>
      <c r="F1" s="1" t="inlineStr">
        <is>
          <t>val_acc cao nhất</t>
        </is>
      </c>
      <c r="G1" s="1" t="inlineStr">
        <is>
          <t>đã thử chủ đề này?</t>
        </is>
      </c>
      <c r="H1" s="1" t="inlineStr">
        <is>
          <t>nhận xét ngắn (bạn viết)</t>
        </is>
      </c>
    </row>
    <row r="2">
      <c r="A2" s="2" t="inlineStr">
        <is>
          <t>baseline</t>
        </is>
      </c>
      <c r="B2" s="3">
        <f>COUNTIF(Experiments!$B$2:$B$61,A2)</f>
        <v/>
      </c>
      <c r="C2" s="3">
        <f>COUNTIFS(Experiments!$B$2:$B$61,A2,Experiments!$V$2:$V$61,"&lt;&gt;")</f>
        <v/>
      </c>
      <c r="D2" s="20">
        <f>IF(C2=0,"",_xlfn.MAXIFS(Experiments!$V$2:$V$61,Experiments!$B$2:$B$61,A2))</f>
        <v/>
      </c>
      <c r="E2" s="20">
        <f>IF(C2=0,"",_xlfn.MINIFS(Experiments!$V$2:$V$61,Experiments!$B$2:$B$61,A2))</f>
        <v/>
      </c>
      <c r="F2" s="20">
        <f>IF(C2=0,"",_xlfn.MAXIFS(Experiments!$U$2:$U$61,Experiments!$B$2:$B$61,A2))</f>
        <v/>
      </c>
      <c r="G2" s="3" t="inlineStr">
        <is>
          <t>—</t>
        </is>
      </c>
      <c r="H2" s="5" t="inlineStr">
        <is>
          <t>SGD+momentum 0.9, lr 0.3 (chọn bằng val trên lưới 0.003–0.3), 3 seed: val macro-F1 0.8580 ± 0.0037 (2σ = 0.0074).</t>
        </is>
      </c>
    </row>
    <row r="3">
      <c r="A3" s="2" t="inlineStr">
        <is>
          <t>loss</t>
        </is>
      </c>
      <c r="B3" s="3">
        <f>COUNTIF(Experiments!$B$2:$B$61,A3)</f>
        <v/>
      </c>
      <c r="C3" s="3">
        <f>COUNTIFS(Experiments!$B$2:$B$61,A3,Experiments!$V$2:$V$61,"&lt;&gt;")</f>
        <v/>
      </c>
      <c r="D3" s="20">
        <f>IF(C3=0,"",_xlfn.MAXIFS(Experiments!$V$2:$V$61,Experiments!$B$2:$B$61,A3))</f>
        <v/>
      </c>
      <c r="E3" s="20">
        <f>IF(C3=0,"",_xlfn.MINIFS(Experiments!$V$2:$V$61,Experiments!$B$2:$B$61,A3))</f>
        <v/>
      </c>
      <c r="F3" s="20">
        <f>IF(C3=0,"",_xlfn.MAXIFS(Experiments!$U$2:$U$61,Experiments!$B$2:$B$61,A3))</f>
        <v/>
      </c>
      <c r="G3" s="3">
        <f>IF(C3&gt;0,"Có","Chưa")</f>
        <v/>
      </c>
      <c r="H3" s="5" t="inlineStr">
        <is>
          <t>MSE kém CE rõ (−0.095 macro-F1 ở lr 0.3); tăng lr lên 1.0 làm tệ hơn (−0.276).</t>
        </is>
      </c>
    </row>
    <row r="4">
      <c r="A4" s="2" t="inlineStr">
        <is>
          <t>optimizer</t>
        </is>
      </c>
      <c r="B4" s="3">
        <f>COUNTIF(Experiments!$B$2:$B$61,A4)</f>
        <v/>
      </c>
      <c r="C4" s="3">
        <f>COUNTIFS(Experiments!$B$2:$B$61,A4,Experiments!$V$2:$V$61,"&lt;&gt;")</f>
        <v/>
      </c>
      <c r="D4" s="20">
        <f>IF(C4=0,"",_xlfn.MAXIFS(Experiments!$V$2:$V$61,Experiments!$B$2:$B$61,A4))</f>
        <v/>
      </c>
      <c r="E4" s="20">
        <f>IF(C4=0,"",_xlfn.MINIFS(Experiments!$V$2:$V$61,Experiments!$B$2:$B$61,A4))</f>
        <v/>
      </c>
      <c r="F4" s="20">
        <f>IF(C4=0,"",_xlfn.MAXIFS(Experiments!$U$2:$U$61,Experiments!$B$2:$B$61,A4))</f>
        <v/>
      </c>
      <c r="G4" s="3">
        <f>IF(C4&gt;0,"Có","Chưa")</f>
        <v/>
      </c>
      <c r="H4" s="5" t="inlineStr">
        <is>
          <t>Ở lr tốt nhất của mỗi bộ, Adam/AdamW (lr 0.003) ngang SGD+momentum (trong nhiễu); SGD thuần (lr 1) kém hơn (−0.024).</t>
        </is>
      </c>
    </row>
    <row r="5">
      <c r="A5" s="2" t="inlineStr">
        <is>
          <t>hparam</t>
        </is>
      </c>
      <c r="B5" s="3">
        <f>COUNTIF(Experiments!$B$2:$B$61,A5)</f>
        <v/>
      </c>
      <c r="C5" s="3">
        <f>COUNTIFS(Experiments!$B$2:$B$61,A5,Experiments!$V$2:$V$61,"&lt;&gt;")</f>
        <v/>
      </c>
      <c r="D5" s="20">
        <f>IF(C5=0,"",_xlfn.MAXIFS(Experiments!$V$2:$V$61,Experiments!$B$2:$B$61,A5))</f>
        <v/>
      </c>
      <c r="E5" s="20">
        <f>IF(C5=0,"",_xlfn.MINIFS(Experiments!$V$2:$V$61,Experiments!$B$2:$B$61,A5))</f>
        <v/>
      </c>
      <c r="F5" s="20">
        <f>IF(C5=0,"",_xlfn.MAXIFS(Experiments!$U$2:$U$61,Experiments!$B$2:$B$61,A5))</f>
        <v/>
      </c>
      <c r="G5" s="3">
        <f>IF(C5&gt;0,"Có","Chưa")</f>
        <v/>
      </c>
      <c r="H5" s="5" t="inlineStr">
        <is>
          <t>M-wide (hp-wide) tốt hơn baseline ngoài nhiễu; lr 0.6/1.0, batch 128/2048 kém hơn; batch 2048 + lr 1.2 sụp về đoán đa số. Các dòng lr-* là lưới lr của Part 2.</t>
        </is>
      </c>
    </row>
    <row r="6">
      <c r="A6" s="2" t="inlineStr">
        <is>
          <t>dropout</t>
        </is>
      </c>
      <c r="B6" s="3">
        <f>COUNTIF(Experiments!$B$2:$B$61,A6)</f>
        <v/>
      </c>
      <c r="C6" s="3">
        <f>COUNTIFS(Experiments!$B$2:$B$61,A6,Experiments!$V$2:$V$61,"&lt;&gt;")</f>
        <v/>
      </c>
      <c r="D6" s="20">
        <f>IF(C6=0,"",_xlfn.MAXIFS(Experiments!$V$2:$V$61,Experiments!$B$2:$B$61,A6))</f>
        <v/>
      </c>
      <c r="E6" s="20">
        <f>IF(C6=0,"",_xlfn.MINIFS(Experiments!$V$2:$V$61,Experiments!$B$2:$B$61,A6))</f>
        <v/>
      </c>
      <c r="F6" s="20">
        <f>IF(C6=0,"",_xlfn.MAXIFS(Experiments!$U$2:$U$61,Experiments!$B$2:$B$61,A6))</f>
        <v/>
      </c>
      <c r="G6" s="3">
        <f>IF(C6&gt;0,"Có","Chưa")</f>
        <v/>
      </c>
      <c r="H6" s="5" t="inlineStr">
        <is>
          <t>q = 0.1 và 0.3 đều kém baseline; baseline chưa quá khớp nên dropout không có gì để chữa.</t>
        </is>
      </c>
    </row>
    <row r="7">
      <c r="A7" s="2" t="inlineStr">
        <is>
          <t>clipping</t>
        </is>
      </c>
      <c r="B7" s="3">
        <f>COUNTIF(Experiments!$B$2:$B$61,A7)</f>
        <v/>
      </c>
      <c r="C7" s="3">
        <f>COUNTIFS(Experiments!$B$2:$B$61,A7,Experiments!$V$2:$V$61,"&lt;&gt;")</f>
        <v/>
      </c>
      <c r="D7" s="20">
        <f>IF(C7=0,"",_xlfn.MAXIFS(Experiments!$V$2:$V$61,Experiments!$B$2:$B$61,A7))</f>
        <v/>
      </c>
      <c r="E7" s="20">
        <f>IF(C7=0,"",_xlfn.MINIFS(Experiments!$V$2:$V$61,Experiments!$B$2:$B$61,A7))</f>
        <v/>
      </c>
      <c r="F7" s="20">
        <f>IF(C7=0,"",_xlfn.MAXIFS(Experiments!$U$2:$U$61,Experiments!$B$2:$B$61,A7))</f>
        <v/>
      </c>
      <c r="G7" s="3">
        <f>IF(C7&gt;0,"Có","Chưa")</f>
        <v/>
      </c>
      <c r="H7" s="5" t="inlineStr">
        <is>
          <t>c = 0.35 ở lr 0.3 cắt 44–80% số bước nên kém baseline; ở lr 3.0 clip cứu một phần (0.26 so với 0.09) nhưng chưa đủ.</t>
        </is>
      </c>
    </row>
    <row r="8">
      <c r="A8" s="2" t="inlineStr">
        <is>
          <t>amp</t>
        </is>
      </c>
      <c r="B8" s="3">
        <f>COUNTIF(Experiments!$B$2:$B$61,A8)</f>
        <v/>
      </c>
      <c r="C8" s="3">
        <f>COUNTIFS(Experiments!$B$2:$B$61,A8,Experiments!$V$2:$V$61,"&lt;&gt;")</f>
        <v/>
      </c>
      <c r="D8" s="20">
        <f>IF(C8=0,"",_xlfn.MAXIFS(Experiments!$V$2:$V$61,Experiments!$B$2:$B$61,A8))</f>
        <v/>
      </c>
      <c r="E8" s="20">
        <f>IF(C8=0,"",_xlfn.MINIFS(Experiments!$V$2:$V$61,Experiments!$B$2:$B$61,A8))</f>
        <v/>
      </c>
      <c r="F8" s="20">
        <f>IF(C8=0,"",_xlfn.MAXIFS(Experiments!$U$2:$U$61,Experiments!$B$2:$B$61,A8))</f>
        <v/>
      </c>
      <c r="G8" s="3">
        <f>IF(C8&gt;0,"Có","Chưa")</f>
        <v/>
      </c>
      <c r="H8" s="5" t="inlineStr">
        <is>
          <t>FP16 trong nhiễu nhưng chậm hơn FP32 (1.70 so với 1.34 s/epoch); BF16 chậm hơn và lệch −0.0078 (sát ngưỡng).</t>
        </is>
      </c>
    </row>
    <row r="9">
      <c r="A9" s="2" t="inlineStr">
        <is>
          <t>init</t>
        </is>
      </c>
      <c r="B9" s="3">
        <f>COUNTIF(Experiments!$B$2:$B$61,A9)</f>
        <v/>
      </c>
      <c r="C9" s="3">
        <f>COUNTIFS(Experiments!$B$2:$B$61,A9,Experiments!$V$2:$V$61,"&lt;&gt;")</f>
        <v/>
      </c>
      <c r="D9" s="20">
        <f>IF(C9=0,"",_xlfn.MAXIFS(Experiments!$V$2:$V$61,Experiments!$B$2:$B$61,A9))</f>
        <v/>
      </c>
      <c r="E9" s="20">
        <f>IF(C9=0,"",_xlfn.MINIFS(Experiments!$V$2:$V$61,Experiments!$B$2:$B$61,A9))</f>
        <v/>
      </c>
      <c r="F9" s="20">
        <f>IF(C9=0,"",_xlfn.MAXIFS(Experiments!$U$2:$U$61,Experiments!$B$2:$B$61,A9))</f>
        <v/>
      </c>
      <c r="G9" s="3">
        <f>IF(C9&gt;0,"Có","Chưa")</f>
        <v/>
      </c>
      <c r="H9" s="5" t="inlineStr">
        <is>
          <t>zeros sụp về đoán đa số (đối xứng); normal/xavier/default trong nhiễu với mạng 3 lớp.</t>
        </is>
      </c>
    </row>
    <row r="10">
      <c r="A10" s="2" t="inlineStr">
        <is>
          <t>final</t>
        </is>
      </c>
      <c r="B10" s="3">
        <f>COUNTIF(Experiments!$B$2:$B$61,A10)</f>
        <v/>
      </c>
      <c r="C10" s="3">
        <f>COUNTIFS(Experiments!$B$2:$B$61,A10,Experiments!$V$2:$V$61,"&lt;&gt;")</f>
        <v/>
      </c>
      <c r="D10" s="20">
        <f>IF(C10=0,"",_xlfn.MAXIFS(Experiments!$V$2:$V$61,Experiments!$B$2:$B$61,A10))</f>
        <v/>
      </c>
      <c r="E10" s="20">
        <f>IF(C10=0,"",_xlfn.MINIFS(Experiments!$V$2:$V$61,Experiments!$B$2:$B$61,A10))</f>
        <v/>
      </c>
      <c r="F10" s="20">
        <f>IF(C10=0,"",_xlfn.MAXIFS(Experiments!$U$2:$U$61,Experiments!$B$2:$B$61,A10))</f>
        <v/>
      </c>
      <c r="G10" s="3" t="inlineStr">
        <is>
          <t>—</t>
        </is>
      </c>
      <c r="H10" s="5" t="inlineStr">
        <is>
          <t>M-wide seed 2, 3 (cùng seed 1 = hp-wide): val macro-F1 trung bình 0.8686 ± 0.0031 so với baseline 0.8580 ± 0.0037.</t>
        </is>
      </c>
    </row>
    <row r="11">
      <c r="A11" s="2" t="inlineStr">
        <is>
          <t>other</t>
        </is>
      </c>
      <c r="B11" s="3">
        <f>COUNTIF(Experiments!$B$2:$B$61,A11)</f>
        <v/>
      </c>
      <c r="C11" s="3">
        <f>COUNTIFS(Experiments!$B$2:$B$61,A11,Experiments!$V$2:$V$61,"&lt;&gt;")</f>
        <v/>
      </c>
      <c r="D11" s="20">
        <f>IF(C11=0,"",_xlfn.MAXIFS(Experiments!$V$2:$V$61,Experiments!$B$2:$B$61,A11))</f>
        <v/>
      </c>
      <c r="E11" s="20">
        <f>IF(C11=0,"",_xlfn.MINIFS(Experiments!$V$2:$V$61,Experiments!$B$2:$B$61,A11))</f>
        <v/>
      </c>
      <c r="F11" s="20">
        <f>IF(C11=0,"",_xlfn.MAXIFS(Experiments!$U$2:$U$61,Experiments!$B$2:$B$61,A11))</f>
        <v/>
      </c>
      <c r="G11" s="3" t="inlineStr">
        <is>
          <t>—</t>
        </is>
      </c>
      <c r="H11" s="5" t="n"/>
    </row>
    <row r="13">
      <c r="A13" s="6" t="inlineStr">
        <is>
          <t>Số chủ đề (trong 7) đã thử:</t>
        </is>
      </c>
      <c r="D13" s="6">
        <f>COUNTIF(G2:G11,"Có")</f>
        <v/>
      </c>
    </row>
    <row r="14">
      <c r="A14" s="7" t="inlineStr">
        <is>
          <t>7 chủ đề: loss, optimizer, hparam, dropout, clipping, amp, init. Một chủ đề 'đã thử' khi có ≥ 1 dòng có val_macro_f1.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2026-10-02T03:40:00Z</dcterms:created>
  <dcterms:modified xsi:type="dcterms:W3CDTF">2026-10-04T01:35:36Z</dcterms:modified>
  <cp:lastModifiedBy>junif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6063D5B4195841E9BEA144D8FB61B3AB_12</vt:lpwstr>
  </property>
  <property name="KSOProductBuildVer" fmtid="{D5CDD505-2E9C-101B-9397-08002B2CF9AE}" pid="3">
    <vt:lpwstr>1033-12.1.0.28485</vt:lpwstr>
  </property>
  <property name="CalculationRule" fmtid="{D5CDD505-2E9C-101B-9397-08002B2CF9AE}" pid="4">
    <vt:i4>0</vt:i4>
  </property>
</Properties>
</file>